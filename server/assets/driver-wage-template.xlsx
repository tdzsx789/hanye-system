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7945" windowHeight="12255"/>
  </bookViews>
  <sheets>
    <sheet name="Sheet1" sheetId="1" r:id="rId1"/>
  </sheets>
  <definedNames>
    <definedName name="_xlnm._FilterDatabase" localSheetId="0" hidden="1">Sheet1!$C$1:$C$88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5" i="1" l="1"/>
  <c r="R75" i="1"/>
  <c r="Q75" i="1"/>
  <c r="P75" i="1"/>
  <c r="P74" i="1"/>
  <c r="Q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L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I52" i="1"/>
  <c r="Q51" i="1"/>
  <c r="P51" i="1"/>
  <c r="Q50" i="1"/>
  <c r="P50" i="1"/>
  <c r="I50" i="1"/>
  <c r="Q49" i="1"/>
  <c r="P49" i="1"/>
  <c r="I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I34" i="1"/>
  <c r="Q33" i="1"/>
  <c r="P33" i="1"/>
  <c r="Q32" i="1"/>
  <c r="P32" i="1"/>
  <c r="I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</calcChain>
</file>

<file path=xl/sharedStrings.xml><?xml version="1.0" encoding="utf-8"?>
<sst xmlns="http://schemas.openxmlformats.org/spreadsheetml/2006/main" count="272" uniqueCount="105">
  <si>
    <t>序号</t>
  </si>
  <si>
    <t>时间</t>
  </si>
  <si>
    <t>客户</t>
  </si>
  <si>
    <t>装/卸</t>
  </si>
  <si>
    <t>进口/出口</t>
  </si>
  <si>
    <t>汽车器材（HKD）</t>
  </si>
  <si>
    <t>油费HKD</t>
  </si>
  <si>
    <t>香港坐车（HKD)</t>
  </si>
  <si>
    <t>香港/停车费/过磅费/登记费(HKD)</t>
  </si>
  <si>
    <t>存放叉车（HKD)</t>
  </si>
  <si>
    <t>打的接车(RMB)</t>
  </si>
  <si>
    <t>大陆/停车费/过磅费（RMB)</t>
  </si>
  <si>
    <t>深圳湾停车场费（RMB）</t>
  </si>
  <si>
    <t>洗车/大陆加油（RMB)</t>
  </si>
  <si>
    <t>其它（RMB）</t>
  </si>
  <si>
    <t>杂费合计(HKD)</t>
  </si>
  <si>
    <t>杂费合计(RMB)</t>
  </si>
  <si>
    <t>运费合计(HKD)</t>
  </si>
  <si>
    <t>骑师</t>
  </si>
  <si>
    <t>压夜费/司机卸货费/加点费（HKD)</t>
  </si>
  <si>
    <t>备注</t>
  </si>
  <si>
    <t>汉业/保通</t>
  </si>
  <si>
    <t>雄丰/深圳湾货拉拉</t>
  </si>
  <si>
    <t>进口</t>
  </si>
  <si>
    <t>汉业/恒泰通</t>
  </si>
  <si>
    <t>三湘九龙湾/宝安</t>
  </si>
  <si>
    <t>汉业/道一</t>
  </si>
  <si>
    <t>宝安/屯门</t>
  </si>
  <si>
    <t>出口</t>
  </si>
  <si>
    <t>宝华</t>
  </si>
  <si>
    <t>汉业/旺泰</t>
  </si>
  <si>
    <t>达成/葵涌</t>
  </si>
  <si>
    <t>官塘/宝安</t>
  </si>
  <si>
    <t>汉业/昱华</t>
  </si>
  <si>
    <r>
      <rPr>
        <sz val="14"/>
        <rFont val="宋体"/>
        <family val="3"/>
        <charset val="134"/>
        <scheme val="minor"/>
      </rPr>
      <t>沙田</t>
    </r>
    <r>
      <rPr>
        <sz val="14"/>
        <rFont val="宋体"/>
        <family val="3"/>
        <charset val="134"/>
        <scheme val="minor"/>
      </rPr>
      <t>/南山吉华</t>
    </r>
  </si>
  <si>
    <t>汉业/惠雅居</t>
  </si>
  <si>
    <t>元朗/东莞大朗</t>
  </si>
  <si>
    <t>汉业/恒荣富</t>
  </si>
  <si>
    <t>宝安/葵涌</t>
  </si>
  <si>
    <t>司机卸货1板</t>
  </si>
  <si>
    <t>汉业/蕙施</t>
  </si>
  <si>
    <t>南山吉华/大屿山</t>
  </si>
  <si>
    <t>机场过海100</t>
  </si>
  <si>
    <t>汉业/恒睿</t>
  </si>
  <si>
    <t>屯门/广州保税区</t>
  </si>
  <si>
    <t>黄衡辉</t>
  </si>
  <si>
    <t>屯门/宝安</t>
  </si>
  <si>
    <t>宝华，一进一出</t>
  </si>
  <si>
    <t>专车</t>
  </si>
  <si>
    <t>汉业/肯发</t>
  </si>
  <si>
    <t>宝安/沙田</t>
  </si>
  <si>
    <t>黄广权</t>
  </si>
  <si>
    <t>沙田/广州黄埔</t>
  </si>
  <si>
    <t>汉业/铭立霄</t>
  </si>
  <si>
    <t>沙田/深圳湾货拉拉</t>
  </si>
  <si>
    <t>汉业/可达兴</t>
  </si>
  <si>
    <t>塘厦/上水</t>
  </si>
  <si>
    <t>报关没放行，11号早上过关</t>
  </si>
  <si>
    <t>沙田/南山吉华</t>
  </si>
  <si>
    <t>汉业/恒泰通慧华</t>
  </si>
  <si>
    <t>司机卸货1板100</t>
  </si>
  <si>
    <t>司机装货1板100</t>
  </si>
  <si>
    <t>汉业/迈达斯</t>
  </si>
  <si>
    <t>汉业/恒利通</t>
  </si>
  <si>
    <t>汉业/瓴润+保通</t>
  </si>
  <si>
    <t>粉岭+雄丰/深圳湾货拉拉</t>
  </si>
  <si>
    <t>装货加点100 瓴润装货100</t>
  </si>
  <si>
    <t>长沙湾/宝安</t>
  </si>
  <si>
    <t>宝安/上水</t>
  </si>
  <si>
    <t>元朗/前海保税区</t>
  </si>
  <si>
    <t>司机装货9板*50=450</t>
  </si>
  <si>
    <t>汉业/老胡</t>
  </si>
  <si>
    <t>达成/元朗</t>
  </si>
  <si>
    <t>汉业/迈丰</t>
  </si>
  <si>
    <t>深圳湾货拉拉/葵涌</t>
  </si>
  <si>
    <t>深圳湾货拉拉/司机卸货100</t>
  </si>
  <si>
    <t>三湘九龙湾/前海保税区</t>
  </si>
  <si>
    <t>汉业/邦泽</t>
  </si>
  <si>
    <t>粉岭/深圳湾货拉拉</t>
  </si>
  <si>
    <t>樟木头/屯门</t>
  </si>
  <si>
    <t>明彩</t>
  </si>
  <si>
    <t>汉业/雅威</t>
  </si>
  <si>
    <t>观塘/深圳湾货拉拉</t>
  </si>
  <si>
    <t>龙岗/葵涌</t>
  </si>
  <si>
    <t>三湘九龙湾/东莞松山湖</t>
  </si>
  <si>
    <t>宝安/元朗</t>
  </si>
  <si>
    <t>司机卸货2板100</t>
  </si>
  <si>
    <t>司机卸货12板*50=600</t>
  </si>
  <si>
    <t>汉业/弘川</t>
  </si>
  <si>
    <t>货柜码头/宝安</t>
  </si>
  <si>
    <t>葵涌/深圳湾货拉拉</t>
  </si>
  <si>
    <t>迈丰司机装货100</t>
  </si>
  <si>
    <t>柴湾/樟木头</t>
  </si>
  <si>
    <t>明彩一进一出/柴湾过海100</t>
  </si>
  <si>
    <t>宝安/火炭</t>
  </si>
  <si>
    <t>每月停车费HKD3000</t>
  </si>
  <si>
    <t>司机装卸，加点，过海等</t>
  </si>
  <si>
    <t>27车骑师/口岸过车</t>
  </si>
  <si>
    <t>备注：</t>
  </si>
  <si>
    <t>人民币无预支，司机代垫581.5</t>
  </si>
  <si>
    <t>预支HKD6000-10647=司机代垫4647</t>
  </si>
  <si>
    <t>7月预支杂费6000</t>
  </si>
  <si>
    <t>581.5/0.94=港币618.62</t>
  </si>
  <si>
    <t>运费31950+装卸过海加点2150+司机代垫4647+杂费618.62=应付39365.62</t>
    <phoneticPr fontId="13" type="noConversion"/>
  </si>
  <si>
    <t>2026年8月16日已付款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</si>
</sst>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&quot;年&quot;m&quot;月&quot;d&quot;日&quot;;@"/>
    <numFmt numFmtId="177" formatCode="0_ "/>
  </numFmts>
  <fonts count="1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3" fillId="0" borderId="0" xfId="0" applyNumberFormat="1" applyFont="1" applyAlignment="1">
      <alignment horizontal="left" vertical="center"/>
    </xf>
    <xf numFmtId="0" fontId="2" fillId="3" borderId="0" xfId="0" applyFont="1" applyFill="1">
      <alignment vertical="center"/>
    </xf>
    <xf numFmtId="0" fontId="2" fillId="0" borderId="0" xfId="0" applyFont="1" applyFill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58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58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58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58" fontId="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58" fontId="7" fillId="0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176" fontId="3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1" fillId="0" borderId="0" xfId="0" applyFont="1" applyBorder="1" applyAlignment="1">
      <alignment horizontal="center" vertical="center"/>
    </xf>
    <xf numFmtId="176" fontId="3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>
      <alignment vertical="center"/>
    </xf>
    <xf numFmtId="0" fontId="4" fillId="0" borderId="0" xfId="0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0" fontId="7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77" fontId="2" fillId="0" borderId="0" xfId="0" applyNumberFormat="1" applyFont="1" applyFill="1">
      <alignment vertical="center"/>
    </xf>
    <xf numFmtId="0" fontId="8" fillId="0" borderId="0" xfId="0" applyFont="1" applyFill="1" applyAlignment="1">
      <alignment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00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tabSelected="1" topLeftCell="A66" zoomScale="85" zoomScaleNormal="85" workbookViewId="0">
      <selection activeCell="U84" sqref="U84"/>
    </sheetView>
  </sheetViews>
  <sheetFormatPr defaultColWidth="9" defaultRowHeight="20.25" x14ac:dyDescent="0.15"/>
  <cols>
    <col min="1" max="1" width="5" style="5" customWidth="1"/>
    <col min="2" max="2" width="11.75" style="6" customWidth="1"/>
    <col min="3" max="3" width="22.375" style="7" customWidth="1"/>
    <col min="4" max="4" width="31" style="7" customWidth="1"/>
    <col min="5" max="5" width="11.125" style="6" customWidth="1"/>
    <col min="6" max="6" width="8.375" style="6" customWidth="1"/>
    <col min="7" max="7" width="7.625" style="8" customWidth="1"/>
    <col min="8" max="8" width="7.25" style="9" customWidth="1"/>
    <col min="9" max="9" width="9.125" style="5" customWidth="1"/>
    <col min="10" max="10" width="8.5" style="10" customWidth="1"/>
    <col min="11" max="11" width="7.25" style="5" customWidth="1"/>
    <col min="12" max="12" width="8" style="5" customWidth="1"/>
    <col min="13" max="13" width="8.125" style="5" customWidth="1"/>
    <col min="14" max="14" width="7" style="5" customWidth="1"/>
    <col min="15" max="15" width="9.75" style="5" customWidth="1"/>
    <col min="16" max="16" width="8.625" style="5" customWidth="1"/>
    <col min="17" max="17" width="7.125" style="5" customWidth="1"/>
    <col min="18" max="18" width="8.375" style="2" customWidth="1"/>
    <col min="19" max="19" width="8.375" style="1" customWidth="1"/>
    <col min="20" max="20" width="10" style="2" customWidth="1"/>
    <col min="21" max="21" width="43.625" style="11" customWidth="1"/>
    <col min="22" max="22" width="12.875" style="12" customWidth="1"/>
    <col min="23" max="16384" width="9" style="5"/>
  </cols>
  <sheetData>
    <row r="1" spans="1:22" ht="90" customHeight="1" x14ac:dyDescent="0.1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  <c r="I1" s="18" t="s">
        <v>8</v>
      </c>
      <c r="J1" s="19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20" t="s">
        <v>18</v>
      </c>
      <c r="T1" s="18" t="s">
        <v>19</v>
      </c>
      <c r="U1" s="21" t="s">
        <v>20</v>
      </c>
      <c r="V1" s="22"/>
    </row>
    <row r="2" spans="1:22" s="1" customFormat="1" ht="22.5" customHeight="1" x14ac:dyDescent="0.15">
      <c r="A2" s="23">
        <v>1</v>
      </c>
      <c r="B2" s="24">
        <v>46205</v>
      </c>
      <c r="C2" s="25" t="s">
        <v>21</v>
      </c>
      <c r="D2" s="25" t="s">
        <v>22</v>
      </c>
      <c r="E2" s="25" t="s">
        <v>23</v>
      </c>
      <c r="F2" s="26"/>
      <c r="G2" s="27"/>
      <c r="H2" s="28"/>
      <c r="I2" s="28">
        <v>60</v>
      </c>
      <c r="J2" s="29"/>
      <c r="K2" s="30"/>
      <c r="L2" s="30"/>
      <c r="M2" s="31"/>
      <c r="N2" s="31"/>
      <c r="O2" s="31"/>
      <c r="P2" s="20">
        <f t="shared" ref="P2:P27" si="0">G2+H2+I2+J2</f>
        <v>60</v>
      </c>
      <c r="Q2" s="20">
        <f t="shared" ref="Q2:Q27" si="1">+K2+L2+M2+N2+O2</f>
        <v>0</v>
      </c>
      <c r="R2" s="28">
        <v>400</v>
      </c>
      <c r="S2" s="25"/>
      <c r="T2" s="32"/>
      <c r="U2" s="33"/>
      <c r="V2" s="34">
        <v>1</v>
      </c>
    </row>
    <row r="3" spans="1:22" s="2" customFormat="1" ht="22.5" customHeight="1" x14ac:dyDescent="0.15">
      <c r="A3" s="23">
        <v>2</v>
      </c>
      <c r="B3" s="35">
        <v>46205</v>
      </c>
      <c r="C3" s="36" t="s">
        <v>24</v>
      </c>
      <c r="D3" s="36" t="s">
        <v>25</v>
      </c>
      <c r="E3" s="36" t="s">
        <v>23</v>
      </c>
      <c r="F3" s="37"/>
      <c r="G3" s="38"/>
      <c r="H3" s="32"/>
      <c r="I3" s="32">
        <v>30</v>
      </c>
      <c r="J3" s="39"/>
      <c r="K3" s="23"/>
      <c r="L3" s="23"/>
      <c r="M3" s="40"/>
      <c r="N3" s="40"/>
      <c r="O3" s="40"/>
      <c r="P3" s="18">
        <f t="shared" si="0"/>
        <v>30</v>
      </c>
      <c r="Q3" s="18">
        <f t="shared" si="1"/>
        <v>0</v>
      </c>
      <c r="R3" s="32">
        <v>450</v>
      </c>
      <c r="S3" s="25"/>
      <c r="T3" s="32"/>
      <c r="U3" s="33"/>
      <c r="V3" s="34"/>
    </row>
    <row r="4" spans="1:22" s="2" customFormat="1" ht="22.5" customHeight="1" x14ac:dyDescent="0.15">
      <c r="A4" s="23">
        <v>3</v>
      </c>
      <c r="B4" s="35">
        <v>46205</v>
      </c>
      <c r="C4" s="36" t="s">
        <v>26</v>
      </c>
      <c r="D4" s="36" t="s">
        <v>27</v>
      </c>
      <c r="E4" s="36" t="s">
        <v>28</v>
      </c>
      <c r="F4" s="37"/>
      <c r="G4" s="38"/>
      <c r="H4" s="32"/>
      <c r="I4" s="32"/>
      <c r="J4" s="39"/>
      <c r="K4" s="23"/>
      <c r="L4" s="23"/>
      <c r="M4" s="40"/>
      <c r="N4" s="40"/>
      <c r="O4" s="40"/>
      <c r="P4" s="18">
        <f t="shared" si="0"/>
        <v>0</v>
      </c>
      <c r="Q4" s="18">
        <f t="shared" si="1"/>
        <v>0</v>
      </c>
      <c r="R4" s="32">
        <v>500</v>
      </c>
      <c r="S4" s="25"/>
      <c r="T4" s="32"/>
      <c r="U4" s="33" t="s">
        <v>29</v>
      </c>
      <c r="V4" s="34"/>
    </row>
    <row r="5" spans="1:22" s="2" customFormat="1" ht="22.5" customHeight="1" x14ac:dyDescent="0.15">
      <c r="A5" s="23">
        <v>4</v>
      </c>
      <c r="B5" s="35">
        <v>46205</v>
      </c>
      <c r="C5" s="36" t="s">
        <v>24</v>
      </c>
      <c r="D5" s="36" t="s">
        <v>25</v>
      </c>
      <c r="E5" s="36" t="s">
        <v>23</v>
      </c>
      <c r="F5" s="37"/>
      <c r="G5" s="38"/>
      <c r="H5" s="32"/>
      <c r="I5" s="32">
        <v>30</v>
      </c>
      <c r="J5" s="39"/>
      <c r="K5" s="23"/>
      <c r="L5" s="23">
        <v>10</v>
      </c>
      <c r="M5" s="40"/>
      <c r="N5" s="40"/>
      <c r="O5" s="40"/>
      <c r="P5" s="18">
        <f t="shared" si="0"/>
        <v>30</v>
      </c>
      <c r="Q5" s="18">
        <f t="shared" si="1"/>
        <v>10</v>
      </c>
      <c r="R5" s="32">
        <v>450</v>
      </c>
      <c r="S5" s="25"/>
      <c r="T5" s="32"/>
      <c r="U5" s="33"/>
      <c r="V5" s="34"/>
    </row>
    <row r="6" spans="1:22" s="2" customFormat="1" ht="22.5" customHeight="1" x14ac:dyDescent="0.15">
      <c r="A6" s="23">
        <v>5</v>
      </c>
      <c r="B6" s="35">
        <v>46205</v>
      </c>
      <c r="C6" s="36" t="s">
        <v>30</v>
      </c>
      <c r="D6" s="36" t="s">
        <v>31</v>
      </c>
      <c r="E6" s="36" t="s">
        <v>28</v>
      </c>
      <c r="F6" s="37"/>
      <c r="G6" s="38"/>
      <c r="H6" s="32"/>
      <c r="I6" s="32">
        <v>55</v>
      </c>
      <c r="J6" s="39"/>
      <c r="K6" s="23"/>
      <c r="L6" s="23">
        <v>54</v>
      </c>
      <c r="M6" s="40"/>
      <c r="N6" s="40"/>
      <c r="O6" s="40"/>
      <c r="P6" s="18">
        <f t="shared" si="0"/>
        <v>55</v>
      </c>
      <c r="Q6" s="18">
        <f t="shared" si="1"/>
        <v>54</v>
      </c>
      <c r="R6" s="32">
        <v>500</v>
      </c>
      <c r="S6" s="25"/>
      <c r="T6" s="32"/>
      <c r="U6" s="33"/>
      <c r="V6" s="34"/>
    </row>
    <row r="7" spans="1:22" s="2" customFormat="1" ht="22.5" customHeight="1" x14ac:dyDescent="0.15">
      <c r="A7" s="23">
        <v>6</v>
      </c>
      <c r="B7" s="35">
        <v>46206</v>
      </c>
      <c r="C7" s="36" t="s">
        <v>24</v>
      </c>
      <c r="D7" s="36" t="s">
        <v>32</v>
      </c>
      <c r="E7" s="36" t="s">
        <v>23</v>
      </c>
      <c r="F7" s="37"/>
      <c r="G7" s="38"/>
      <c r="H7" s="32"/>
      <c r="I7" s="32">
        <v>1930</v>
      </c>
      <c r="J7" s="39"/>
      <c r="K7" s="23"/>
      <c r="L7" s="23"/>
      <c r="M7" s="40"/>
      <c r="N7" s="40"/>
      <c r="O7" s="40"/>
      <c r="P7" s="18">
        <f t="shared" si="0"/>
        <v>1930</v>
      </c>
      <c r="Q7" s="18">
        <f t="shared" si="1"/>
        <v>0</v>
      </c>
      <c r="R7" s="32">
        <v>500</v>
      </c>
      <c r="S7" s="25"/>
      <c r="T7" s="32"/>
      <c r="U7" s="33"/>
      <c r="V7" s="34"/>
    </row>
    <row r="8" spans="1:22" s="2" customFormat="1" ht="22.5" customHeight="1" x14ac:dyDescent="0.15">
      <c r="A8" s="23">
        <v>7</v>
      </c>
      <c r="B8" s="35">
        <v>46206</v>
      </c>
      <c r="C8" s="36" t="s">
        <v>24</v>
      </c>
      <c r="D8" s="36" t="s">
        <v>25</v>
      </c>
      <c r="E8" s="36" t="s">
        <v>23</v>
      </c>
      <c r="F8" s="37"/>
      <c r="G8" s="38"/>
      <c r="H8" s="32"/>
      <c r="I8" s="32">
        <v>30</v>
      </c>
      <c r="J8" s="39"/>
      <c r="K8" s="23"/>
      <c r="L8" s="23"/>
      <c r="M8" s="40"/>
      <c r="N8" s="40"/>
      <c r="O8" s="40"/>
      <c r="P8" s="18">
        <f t="shared" si="0"/>
        <v>30</v>
      </c>
      <c r="Q8" s="18">
        <f t="shared" si="1"/>
        <v>0</v>
      </c>
      <c r="R8" s="32">
        <v>450</v>
      </c>
      <c r="S8" s="25"/>
      <c r="T8" s="32"/>
      <c r="U8" s="33"/>
      <c r="V8" s="34"/>
    </row>
    <row r="9" spans="1:22" s="2" customFormat="1" ht="22.5" customHeight="1" x14ac:dyDescent="0.15">
      <c r="A9" s="23">
        <v>8</v>
      </c>
      <c r="B9" s="35">
        <v>46207</v>
      </c>
      <c r="C9" s="36" t="s">
        <v>33</v>
      </c>
      <c r="D9" s="36" t="s">
        <v>34</v>
      </c>
      <c r="E9" s="36" t="s">
        <v>23</v>
      </c>
      <c r="F9" s="37"/>
      <c r="G9" s="38"/>
      <c r="H9" s="32"/>
      <c r="I9" s="32">
        <v>66</v>
      </c>
      <c r="J9" s="39"/>
      <c r="K9" s="23"/>
      <c r="L9" s="23"/>
      <c r="M9" s="40"/>
      <c r="N9" s="40"/>
      <c r="O9" s="40"/>
      <c r="P9" s="18">
        <f t="shared" si="0"/>
        <v>66</v>
      </c>
      <c r="Q9" s="18">
        <f t="shared" si="1"/>
        <v>0</v>
      </c>
      <c r="R9" s="32">
        <v>500</v>
      </c>
      <c r="S9" s="25"/>
      <c r="T9" s="32"/>
      <c r="U9" s="33"/>
      <c r="V9" s="34"/>
    </row>
    <row r="10" spans="1:22" s="2" customFormat="1" ht="22.5" customHeight="1" x14ac:dyDescent="0.15">
      <c r="A10" s="23">
        <v>9</v>
      </c>
      <c r="B10" s="35">
        <v>46209</v>
      </c>
      <c r="C10" s="36" t="s">
        <v>35</v>
      </c>
      <c r="D10" s="36" t="s">
        <v>36</v>
      </c>
      <c r="E10" s="36" t="s">
        <v>23</v>
      </c>
      <c r="F10" s="37"/>
      <c r="G10" s="38"/>
      <c r="H10" s="32"/>
      <c r="I10" s="32">
        <v>60</v>
      </c>
      <c r="J10" s="39"/>
      <c r="K10" s="23"/>
      <c r="L10" s="23"/>
      <c r="M10" s="40"/>
      <c r="N10" s="40"/>
      <c r="O10" s="40"/>
      <c r="P10" s="18">
        <f t="shared" si="0"/>
        <v>60</v>
      </c>
      <c r="Q10" s="18">
        <f t="shared" si="1"/>
        <v>0</v>
      </c>
      <c r="R10" s="32">
        <v>700</v>
      </c>
      <c r="S10" s="25"/>
      <c r="T10" s="32"/>
      <c r="U10" s="33"/>
      <c r="V10" s="34"/>
    </row>
    <row r="11" spans="1:22" s="2" customFormat="1" ht="22.5" customHeight="1" x14ac:dyDescent="0.15">
      <c r="A11" s="23">
        <v>10</v>
      </c>
      <c r="B11" s="35">
        <v>46209</v>
      </c>
      <c r="C11" s="36" t="s">
        <v>37</v>
      </c>
      <c r="D11" s="36" t="s">
        <v>38</v>
      </c>
      <c r="E11" s="36" t="s">
        <v>28</v>
      </c>
      <c r="F11" s="37"/>
      <c r="G11" s="38"/>
      <c r="H11" s="32"/>
      <c r="I11" s="32">
        <v>15</v>
      </c>
      <c r="J11" s="39"/>
      <c r="K11" s="23"/>
      <c r="L11" s="23">
        <v>30</v>
      </c>
      <c r="M11" s="40"/>
      <c r="N11" s="40"/>
      <c r="O11" s="40"/>
      <c r="P11" s="18">
        <f t="shared" si="0"/>
        <v>15</v>
      </c>
      <c r="Q11" s="18">
        <f t="shared" si="1"/>
        <v>30</v>
      </c>
      <c r="R11" s="32">
        <v>500</v>
      </c>
      <c r="S11" s="25"/>
      <c r="T11" s="32">
        <v>100</v>
      </c>
      <c r="U11" s="33" t="s">
        <v>39</v>
      </c>
      <c r="V11" s="34"/>
    </row>
    <row r="12" spans="1:22" s="2" customFormat="1" ht="22.5" customHeight="1" x14ac:dyDescent="0.15">
      <c r="A12" s="23">
        <v>11</v>
      </c>
      <c r="B12" s="35">
        <v>46209</v>
      </c>
      <c r="C12" s="36" t="s">
        <v>24</v>
      </c>
      <c r="D12" s="36" t="s">
        <v>25</v>
      </c>
      <c r="E12" s="36" t="s">
        <v>23</v>
      </c>
      <c r="F12" s="37"/>
      <c r="G12" s="38"/>
      <c r="H12" s="32"/>
      <c r="I12" s="32">
        <v>30</v>
      </c>
      <c r="J12" s="39"/>
      <c r="K12" s="23"/>
      <c r="L12" s="23"/>
      <c r="M12" s="40"/>
      <c r="N12" s="40"/>
      <c r="O12" s="40"/>
      <c r="P12" s="18">
        <f t="shared" si="0"/>
        <v>30</v>
      </c>
      <c r="Q12" s="18">
        <f t="shared" si="1"/>
        <v>0</v>
      </c>
      <c r="R12" s="32">
        <v>450</v>
      </c>
      <c r="S12" s="25"/>
      <c r="T12" s="32"/>
      <c r="U12" s="33"/>
      <c r="V12" s="34"/>
    </row>
    <row r="13" spans="1:22" s="2" customFormat="1" ht="22.5" customHeight="1" x14ac:dyDescent="0.15">
      <c r="A13" s="23">
        <v>12</v>
      </c>
      <c r="B13" s="35">
        <v>46210</v>
      </c>
      <c r="C13" s="36" t="s">
        <v>40</v>
      </c>
      <c r="D13" s="36" t="s">
        <v>41</v>
      </c>
      <c r="E13" s="36" t="s">
        <v>28</v>
      </c>
      <c r="F13" s="37"/>
      <c r="G13" s="38"/>
      <c r="H13" s="32"/>
      <c r="I13" s="32"/>
      <c r="J13" s="39"/>
      <c r="K13" s="23"/>
      <c r="L13" s="23">
        <v>20</v>
      </c>
      <c r="M13" s="40"/>
      <c r="N13" s="40"/>
      <c r="O13" s="40"/>
      <c r="P13" s="18">
        <f t="shared" si="0"/>
        <v>0</v>
      </c>
      <c r="Q13" s="18">
        <f t="shared" si="1"/>
        <v>20</v>
      </c>
      <c r="R13" s="32">
        <v>500</v>
      </c>
      <c r="S13" s="25"/>
      <c r="T13" s="32">
        <v>100</v>
      </c>
      <c r="U13" s="33" t="s">
        <v>42</v>
      </c>
      <c r="V13" s="34"/>
    </row>
    <row r="14" spans="1:22" s="2" customFormat="1" ht="22.5" customHeight="1" x14ac:dyDescent="0.15">
      <c r="A14" s="23">
        <v>13</v>
      </c>
      <c r="B14" s="35">
        <v>46210</v>
      </c>
      <c r="C14" s="36" t="s">
        <v>24</v>
      </c>
      <c r="D14" s="36" t="s">
        <v>25</v>
      </c>
      <c r="E14" s="36" t="s">
        <v>23</v>
      </c>
      <c r="F14" s="37"/>
      <c r="G14" s="38"/>
      <c r="H14" s="32"/>
      <c r="I14" s="32">
        <v>30</v>
      </c>
      <c r="J14" s="39"/>
      <c r="K14" s="23"/>
      <c r="L14" s="23"/>
      <c r="M14" s="40"/>
      <c r="N14" s="40"/>
      <c r="O14" s="40"/>
      <c r="P14" s="18">
        <f t="shared" si="0"/>
        <v>30</v>
      </c>
      <c r="Q14" s="18">
        <f t="shared" si="1"/>
        <v>0</v>
      </c>
      <c r="R14" s="32">
        <v>450</v>
      </c>
      <c r="S14" s="25"/>
      <c r="T14" s="32"/>
      <c r="U14" s="33"/>
      <c r="V14" s="34"/>
    </row>
    <row r="15" spans="1:22" s="1" customFormat="1" ht="22.5" customHeight="1" x14ac:dyDescent="0.15">
      <c r="A15" s="23">
        <v>14</v>
      </c>
      <c r="B15" s="24">
        <v>46211</v>
      </c>
      <c r="C15" s="25" t="s">
        <v>43</v>
      </c>
      <c r="D15" s="25" t="s">
        <v>44</v>
      </c>
      <c r="E15" s="25" t="s">
        <v>23</v>
      </c>
      <c r="F15" s="26"/>
      <c r="G15" s="27"/>
      <c r="H15" s="28"/>
      <c r="I15" s="28">
        <v>90</v>
      </c>
      <c r="J15" s="29"/>
      <c r="K15" s="30"/>
      <c r="L15" s="30"/>
      <c r="M15" s="31"/>
      <c r="N15" s="31"/>
      <c r="O15" s="31"/>
      <c r="P15" s="20">
        <f t="shared" si="0"/>
        <v>90</v>
      </c>
      <c r="Q15" s="20">
        <f t="shared" si="1"/>
        <v>0</v>
      </c>
      <c r="R15" s="28">
        <v>400</v>
      </c>
      <c r="S15" s="25" t="s">
        <v>45</v>
      </c>
      <c r="T15" s="32"/>
      <c r="U15" s="33"/>
      <c r="V15" s="34">
        <v>2</v>
      </c>
    </row>
    <row r="16" spans="1:22" s="2" customFormat="1" ht="22.5" customHeight="1" x14ac:dyDescent="0.15">
      <c r="A16" s="23">
        <v>15</v>
      </c>
      <c r="B16" s="35">
        <v>46211</v>
      </c>
      <c r="C16" s="36" t="s">
        <v>24</v>
      </c>
      <c r="D16" s="36" t="s">
        <v>25</v>
      </c>
      <c r="E16" s="36" t="s">
        <v>23</v>
      </c>
      <c r="F16" s="37"/>
      <c r="G16" s="38"/>
      <c r="H16" s="32"/>
      <c r="I16" s="32">
        <v>30</v>
      </c>
      <c r="J16" s="39"/>
      <c r="K16" s="23"/>
      <c r="L16" s="23"/>
      <c r="M16" s="40"/>
      <c r="N16" s="40"/>
      <c r="O16" s="40"/>
      <c r="P16" s="18">
        <f t="shared" si="0"/>
        <v>30</v>
      </c>
      <c r="Q16" s="18">
        <f t="shared" si="1"/>
        <v>0</v>
      </c>
      <c r="R16" s="32">
        <v>450</v>
      </c>
      <c r="S16" s="25"/>
      <c r="T16" s="32"/>
      <c r="U16" s="33"/>
      <c r="V16" s="34"/>
    </row>
    <row r="17" spans="1:22" s="2" customFormat="1" ht="22.5" customHeight="1" x14ac:dyDescent="0.15">
      <c r="A17" s="23">
        <v>16</v>
      </c>
      <c r="B17" s="35">
        <v>46212</v>
      </c>
      <c r="C17" s="36" t="s">
        <v>26</v>
      </c>
      <c r="D17" s="36" t="s">
        <v>46</v>
      </c>
      <c r="E17" s="36" t="s">
        <v>23</v>
      </c>
      <c r="F17" s="37"/>
      <c r="G17" s="38"/>
      <c r="H17" s="32"/>
      <c r="I17" s="32"/>
      <c r="J17" s="39"/>
      <c r="K17" s="23"/>
      <c r="L17" s="23"/>
      <c r="M17" s="40"/>
      <c r="N17" s="40"/>
      <c r="O17" s="40"/>
      <c r="P17" s="18">
        <f t="shared" si="0"/>
        <v>0</v>
      </c>
      <c r="Q17" s="18">
        <f t="shared" si="1"/>
        <v>0</v>
      </c>
      <c r="R17" s="32">
        <v>500</v>
      </c>
      <c r="S17" s="25"/>
      <c r="T17" s="32"/>
      <c r="U17" s="33" t="s">
        <v>47</v>
      </c>
      <c r="V17" s="34"/>
    </row>
    <row r="18" spans="1:22" s="3" customFormat="1" ht="22.5" customHeight="1" x14ac:dyDescent="0.15">
      <c r="A18" s="41">
        <v>17</v>
      </c>
      <c r="B18" s="42">
        <v>46212</v>
      </c>
      <c r="C18" s="43" t="s">
        <v>26</v>
      </c>
      <c r="D18" s="43" t="s">
        <v>27</v>
      </c>
      <c r="E18" s="43" t="s">
        <v>28</v>
      </c>
      <c r="F18" s="44"/>
      <c r="G18" s="41"/>
      <c r="H18" s="41"/>
      <c r="I18" s="41"/>
      <c r="J18" s="45"/>
      <c r="K18" s="41"/>
      <c r="L18" s="41"/>
      <c r="M18" s="46"/>
      <c r="N18" s="46"/>
      <c r="O18" s="46"/>
      <c r="P18" s="47">
        <f t="shared" si="0"/>
        <v>0</v>
      </c>
      <c r="Q18" s="47">
        <f t="shared" si="1"/>
        <v>0</v>
      </c>
      <c r="R18" s="41">
        <v>400</v>
      </c>
      <c r="S18" s="48"/>
      <c r="T18" s="41"/>
      <c r="U18" s="49"/>
      <c r="V18" s="50"/>
    </row>
    <row r="19" spans="1:22" s="2" customFormat="1" ht="22.5" customHeight="1" x14ac:dyDescent="0.15">
      <c r="A19" s="23">
        <v>18</v>
      </c>
      <c r="B19" s="35">
        <v>46212</v>
      </c>
      <c r="C19" s="36" t="s">
        <v>24</v>
      </c>
      <c r="D19" s="36" t="s">
        <v>25</v>
      </c>
      <c r="E19" s="36" t="s">
        <v>23</v>
      </c>
      <c r="F19" s="37"/>
      <c r="G19" s="38"/>
      <c r="H19" s="32"/>
      <c r="I19" s="32">
        <v>30</v>
      </c>
      <c r="J19" s="39"/>
      <c r="K19" s="23"/>
      <c r="L19" s="23">
        <v>15</v>
      </c>
      <c r="M19" s="40"/>
      <c r="N19" s="40"/>
      <c r="O19" s="40"/>
      <c r="P19" s="18">
        <f t="shared" si="0"/>
        <v>30</v>
      </c>
      <c r="Q19" s="18">
        <f t="shared" si="1"/>
        <v>15</v>
      </c>
      <c r="R19" s="32">
        <v>450</v>
      </c>
      <c r="S19" s="25"/>
      <c r="T19" s="32"/>
      <c r="U19" s="33" t="s">
        <v>48</v>
      </c>
      <c r="V19" s="34"/>
    </row>
    <row r="20" spans="1:22" s="1" customFormat="1" ht="22.5" customHeight="1" x14ac:dyDescent="0.15">
      <c r="A20" s="23">
        <v>19</v>
      </c>
      <c r="B20" s="24">
        <v>46212</v>
      </c>
      <c r="C20" s="25" t="s">
        <v>49</v>
      </c>
      <c r="D20" s="25" t="s">
        <v>50</v>
      </c>
      <c r="E20" s="25" t="s">
        <v>28</v>
      </c>
      <c r="F20" s="26"/>
      <c r="G20" s="27"/>
      <c r="H20" s="28"/>
      <c r="I20" s="28"/>
      <c r="J20" s="29"/>
      <c r="K20" s="30"/>
      <c r="L20" s="30"/>
      <c r="M20" s="31"/>
      <c r="N20" s="31"/>
      <c r="O20" s="31"/>
      <c r="P20" s="20">
        <f t="shared" si="0"/>
        <v>0</v>
      </c>
      <c r="Q20" s="20">
        <f t="shared" si="1"/>
        <v>0</v>
      </c>
      <c r="R20" s="28">
        <v>400</v>
      </c>
      <c r="S20" s="25" t="s">
        <v>51</v>
      </c>
      <c r="T20" s="32"/>
      <c r="U20" s="33"/>
      <c r="V20" s="34">
        <v>3</v>
      </c>
    </row>
    <row r="21" spans="1:22" s="1" customFormat="1" ht="22.5" customHeight="1" x14ac:dyDescent="0.15">
      <c r="A21" s="23">
        <v>20</v>
      </c>
      <c r="B21" s="24">
        <v>46213</v>
      </c>
      <c r="C21" s="25" t="s">
        <v>33</v>
      </c>
      <c r="D21" s="25" t="s">
        <v>52</v>
      </c>
      <c r="E21" s="25" t="s">
        <v>23</v>
      </c>
      <c r="F21" s="26"/>
      <c r="G21" s="27"/>
      <c r="H21" s="28"/>
      <c r="I21" s="28">
        <v>126</v>
      </c>
      <c r="J21" s="29"/>
      <c r="K21" s="30"/>
      <c r="L21" s="30"/>
      <c r="M21" s="31"/>
      <c r="N21" s="31"/>
      <c r="O21" s="31"/>
      <c r="P21" s="20">
        <f t="shared" si="0"/>
        <v>126</v>
      </c>
      <c r="Q21" s="20">
        <f t="shared" si="1"/>
        <v>0</v>
      </c>
      <c r="R21" s="28">
        <v>400</v>
      </c>
      <c r="S21" s="25" t="s">
        <v>51</v>
      </c>
      <c r="T21" s="32"/>
      <c r="U21" s="33"/>
      <c r="V21" s="34">
        <v>4</v>
      </c>
    </row>
    <row r="22" spans="1:22" s="1" customFormat="1" ht="22.5" customHeight="1" x14ac:dyDescent="0.15">
      <c r="A22" s="23">
        <v>21</v>
      </c>
      <c r="B22" s="24">
        <v>46213</v>
      </c>
      <c r="C22" s="25" t="s">
        <v>53</v>
      </c>
      <c r="D22" s="25" t="s">
        <v>54</v>
      </c>
      <c r="E22" s="25" t="s">
        <v>23</v>
      </c>
      <c r="F22" s="26"/>
      <c r="G22" s="27"/>
      <c r="H22" s="28"/>
      <c r="I22" s="28">
        <v>66</v>
      </c>
      <c r="J22" s="29"/>
      <c r="K22" s="30"/>
      <c r="L22" s="30"/>
      <c r="M22" s="31"/>
      <c r="N22" s="31"/>
      <c r="O22" s="31"/>
      <c r="P22" s="20">
        <f t="shared" si="0"/>
        <v>66</v>
      </c>
      <c r="Q22" s="20">
        <f t="shared" si="1"/>
        <v>0</v>
      </c>
      <c r="R22" s="28">
        <v>400</v>
      </c>
      <c r="S22" s="25"/>
      <c r="T22" s="32"/>
      <c r="U22" s="33"/>
      <c r="V22" s="34">
        <v>5</v>
      </c>
    </row>
    <row r="23" spans="1:22" s="1" customFormat="1" ht="22.5" customHeight="1" x14ac:dyDescent="0.15">
      <c r="A23" s="23">
        <v>22</v>
      </c>
      <c r="B23" s="24">
        <v>46213</v>
      </c>
      <c r="C23" s="25" t="s">
        <v>55</v>
      </c>
      <c r="D23" s="25" t="s">
        <v>56</v>
      </c>
      <c r="E23" s="25" t="s">
        <v>28</v>
      </c>
      <c r="F23" s="26"/>
      <c r="G23" s="27"/>
      <c r="H23" s="28"/>
      <c r="I23" s="28">
        <v>80</v>
      </c>
      <c r="J23" s="29"/>
      <c r="K23" s="30"/>
      <c r="L23" s="30"/>
      <c r="M23" s="31">
        <v>80</v>
      </c>
      <c r="N23" s="31"/>
      <c r="O23" s="31"/>
      <c r="P23" s="20">
        <f t="shared" si="0"/>
        <v>80</v>
      </c>
      <c r="Q23" s="20">
        <f t="shared" si="1"/>
        <v>80</v>
      </c>
      <c r="R23" s="28">
        <v>400</v>
      </c>
      <c r="S23" s="25" t="s">
        <v>51</v>
      </c>
      <c r="T23" s="32"/>
      <c r="U23" s="33" t="s">
        <v>57</v>
      </c>
      <c r="V23" s="34">
        <v>6</v>
      </c>
    </row>
    <row r="24" spans="1:22" s="2" customFormat="1" ht="22.5" customHeight="1" x14ac:dyDescent="0.15">
      <c r="A24" s="23">
        <v>23</v>
      </c>
      <c r="B24" s="35">
        <v>46213</v>
      </c>
      <c r="C24" s="36" t="s">
        <v>33</v>
      </c>
      <c r="D24" s="36" t="s">
        <v>58</v>
      </c>
      <c r="E24" s="36" t="s">
        <v>23</v>
      </c>
      <c r="F24" s="37"/>
      <c r="G24" s="38"/>
      <c r="H24" s="32"/>
      <c r="I24" s="32">
        <v>66</v>
      </c>
      <c r="J24" s="39"/>
      <c r="K24" s="23"/>
      <c r="L24" s="23"/>
      <c r="M24" s="40">
        <v>48</v>
      </c>
      <c r="N24" s="40"/>
      <c r="O24" s="40"/>
      <c r="P24" s="18">
        <f t="shared" si="0"/>
        <v>66</v>
      </c>
      <c r="Q24" s="18">
        <f t="shared" si="1"/>
        <v>48</v>
      </c>
      <c r="R24" s="32">
        <v>500</v>
      </c>
      <c r="S24" s="25"/>
      <c r="T24" s="32"/>
      <c r="U24" s="33"/>
      <c r="V24" s="34"/>
    </row>
    <row r="25" spans="1:22" s="1" customFormat="1" ht="22.5" customHeight="1" x14ac:dyDescent="0.15">
      <c r="A25" s="23">
        <v>24</v>
      </c>
      <c r="B25" s="24">
        <v>46214</v>
      </c>
      <c r="C25" s="25" t="s">
        <v>59</v>
      </c>
      <c r="D25" s="25" t="s">
        <v>25</v>
      </c>
      <c r="E25" s="25" t="s">
        <v>23</v>
      </c>
      <c r="F25" s="26"/>
      <c r="G25" s="27"/>
      <c r="H25" s="28"/>
      <c r="I25" s="32"/>
      <c r="J25" s="29"/>
      <c r="K25" s="30"/>
      <c r="L25" s="30"/>
      <c r="M25" s="31"/>
      <c r="N25" s="31"/>
      <c r="O25" s="31"/>
      <c r="P25" s="20">
        <f t="shared" si="0"/>
        <v>0</v>
      </c>
      <c r="Q25" s="20">
        <f t="shared" si="1"/>
        <v>0</v>
      </c>
      <c r="R25" s="28">
        <v>350</v>
      </c>
      <c r="S25" s="25" t="s">
        <v>45</v>
      </c>
      <c r="T25" s="32"/>
      <c r="U25" s="33"/>
      <c r="V25" s="34">
        <v>7</v>
      </c>
    </row>
    <row r="26" spans="1:22" s="2" customFormat="1" ht="22.5" customHeight="1" x14ac:dyDescent="0.15">
      <c r="A26" s="23">
        <v>25</v>
      </c>
      <c r="B26" s="35">
        <v>46216</v>
      </c>
      <c r="C26" s="36" t="s">
        <v>37</v>
      </c>
      <c r="D26" s="36" t="s">
        <v>38</v>
      </c>
      <c r="E26" s="36" t="s">
        <v>28</v>
      </c>
      <c r="F26" s="37"/>
      <c r="G26" s="38"/>
      <c r="H26" s="32">
        <v>32</v>
      </c>
      <c r="I26" s="32">
        <v>15</v>
      </c>
      <c r="J26" s="39"/>
      <c r="K26" s="23">
        <v>34</v>
      </c>
      <c r="L26" s="23">
        <v>25</v>
      </c>
      <c r="M26" s="40"/>
      <c r="N26" s="40"/>
      <c r="O26" s="40"/>
      <c r="P26" s="18">
        <f t="shared" si="0"/>
        <v>47</v>
      </c>
      <c r="Q26" s="18">
        <f t="shared" si="1"/>
        <v>59</v>
      </c>
      <c r="R26" s="32">
        <v>500</v>
      </c>
      <c r="S26" s="25"/>
      <c r="T26" s="32">
        <v>100</v>
      </c>
      <c r="U26" s="33" t="s">
        <v>60</v>
      </c>
      <c r="V26" s="34"/>
    </row>
    <row r="27" spans="1:22" s="1" customFormat="1" ht="22.5" customHeight="1" x14ac:dyDescent="0.15">
      <c r="A27" s="23">
        <v>26</v>
      </c>
      <c r="B27" s="24">
        <v>46217</v>
      </c>
      <c r="C27" s="25" t="s">
        <v>53</v>
      </c>
      <c r="D27" s="25" t="s">
        <v>54</v>
      </c>
      <c r="E27" s="25" t="s">
        <v>23</v>
      </c>
      <c r="F27" s="26"/>
      <c r="G27" s="27"/>
      <c r="H27" s="28"/>
      <c r="I27" s="28">
        <v>66</v>
      </c>
      <c r="J27" s="29"/>
      <c r="K27" s="30"/>
      <c r="L27" s="30"/>
      <c r="M27" s="31"/>
      <c r="N27" s="31"/>
      <c r="O27" s="31"/>
      <c r="P27" s="20">
        <f t="shared" si="0"/>
        <v>66</v>
      </c>
      <c r="Q27" s="20">
        <f t="shared" si="1"/>
        <v>0</v>
      </c>
      <c r="R27" s="28">
        <v>400</v>
      </c>
      <c r="S27" s="25"/>
      <c r="T27" s="32">
        <v>100</v>
      </c>
      <c r="U27" s="33" t="s">
        <v>61</v>
      </c>
      <c r="V27" s="34">
        <v>8</v>
      </c>
    </row>
    <row r="28" spans="1:22" s="1" customFormat="1" ht="23.1" customHeight="1" x14ac:dyDescent="0.15">
      <c r="A28" s="23">
        <v>27</v>
      </c>
      <c r="B28" s="24">
        <v>46217</v>
      </c>
      <c r="C28" s="25" t="s">
        <v>62</v>
      </c>
      <c r="D28" s="25" t="s">
        <v>22</v>
      </c>
      <c r="E28" s="25" t="s">
        <v>23</v>
      </c>
      <c r="F28" s="26"/>
      <c r="G28" s="27"/>
      <c r="H28" s="28"/>
      <c r="I28" s="28">
        <v>60</v>
      </c>
      <c r="J28" s="29"/>
      <c r="K28" s="30"/>
      <c r="L28" s="30"/>
      <c r="M28" s="31"/>
      <c r="N28" s="31"/>
      <c r="O28" s="31"/>
      <c r="P28" s="20">
        <f t="shared" ref="P28:P41" si="2">G28+H28+I28+J28</f>
        <v>60</v>
      </c>
      <c r="Q28" s="20">
        <f t="shared" ref="Q28:Q41" si="3">+K28+L28+M28+N28+O28</f>
        <v>0</v>
      </c>
      <c r="R28" s="28">
        <v>400</v>
      </c>
      <c r="S28" s="25"/>
      <c r="T28" s="32"/>
      <c r="U28" s="33"/>
      <c r="V28" s="34">
        <v>9</v>
      </c>
    </row>
    <row r="29" spans="1:22" s="2" customFormat="1" ht="22.5" customHeight="1" x14ac:dyDescent="0.15">
      <c r="A29" s="23">
        <v>28</v>
      </c>
      <c r="B29" s="35">
        <v>46217</v>
      </c>
      <c r="C29" s="36" t="s">
        <v>24</v>
      </c>
      <c r="D29" s="36" t="s">
        <v>25</v>
      </c>
      <c r="E29" s="36" t="s">
        <v>23</v>
      </c>
      <c r="F29" s="37"/>
      <c r="G29" s="38"/>
      <c r="H29" s="32"/>
      <c r="I29" s="32">
        <v>30</v>
      </c>
      <c r="J29" s="39"/>
      <c r="K29" s="23"/>
      <c r="L29" s="23"/>
      <c r="M29" s="40"/>
      <c r="N29" s="40"/>
      <c r="O29" s="40"/>
      <c r="P29" s="18">
        <f t="shared" si="2"/>
        <v>30</v>
      </c>
      <c r="Q29" s="18">
        <f t="shared" si="3"/>
        <v>0</v>
      </c>
      <c r="R29" s="32">
        <v>450</v>
      </c>
      <c r="S29" s="25"/>
      <c r="T29" s="32"/>
      <c r="U29" s="33"/>
      <c r="V29" s="34"/>
    </row>
    <row r="30" spans="1:22" s="1" customFormat="1" ht="22.5" customHeight="1" x14ac:dyDescent="0.15">
      <c r="A30" s="23">
        <v>29</v>
      </c>
      <c r="B30" s="24">
        <v>46218</v>
      </c>
      <c r="C30" s="25" t="s">
        <v>63</v>
      </c>
      <c r="D30" s="25" t="s">
        <v>22</v>
      </c>
      <c r="E30" s="25" t="s">
        <v>23</v>
      </c>
      <c r="F30" s="26"/>
      <c r="G30" s="27"/>
      <c r="H30" s="28"/>
      <c r="I30" s="28">
        <v>60</v>
      </c>
      <c r="J30" s="29"/>
      <c r="K30" s="30"/>
      <c r="L30" s="30"/>
      <c r="M30" s="31"/>
      <c r="N30" s="31"/>
      <c r="O30" s="31"/>
      <c r="P30" s="20">
        <f t="shared" si="2"/>
        <v>60</v>
      </c>
      <c r="Q30" s="20">
        <f t="shared" si="3"/>
        <v>0</v>
      </c>
      <c r="R30" s="28">
        <v>400</v>
      </c>
      <c r="S30" s="25"/>
      <c r="T30" s="32"/>
      <c r="U30" s="51"/>
      <c r="V30" s="34">
        <v>10</v>
      </c>
    </row>
    <row r="31" spans="1:22" s="1" customFormat="1" ht="22.5" customHeight="1" x14ac:dyDescent="0.15">
      <c r="A31" s="23">
        <v>30</v>
      </c>
      <c r="B31" s="24">
        <v>46218</v>
      </c>
      <c r="C31" s="25" t="s">
        <v>64</v>
      </c>
      <c r="D31" s="25" t="s">
        <v>65</v>
      </c>
      <c r="E31" s="25" t="s">
        <v>28</v>
      </c>
      <c r="F31" s="26"/>
      <c r="G31" s="27"/>
      <c r="H31" s="28"/>
      <c r="I31" s="28">
        <v>300</v>
      </c>
      <c r="J31" s="29"/>
      <c r="K31" s="30"/>
      <c r="L31" s="30"/>
      <c r="M31" s="31"/>
      <c r="N31" s="31"/>
      <c r="O31" s="31"/>
      <c r="P31" s="20">
        <f t="shared" si="2"/>
        <v>300</v>
      </c>
      <c r="Q31" s="20">
        <f t="shared" si="3"/>
        <v>0</v>
      </c>
      <c r="R31" s="28">
        <v>400</v>
      </c>
      <c r="S31" s="25"/>
      <c r="T31" s="32">
        <v>200</v>
      </c>
      <c r="U31" s="51" t="s">
        <v>66</v>
      </c>
      <c r="V31" s="34">
        <v>11</v>
      </c>
    </row>
    <row r="32" spans="1:22" s="3" customFormat="1" ht="22.5" customHeight="1" x14ac:dyDescent="0.15">
      <c r="A32" s="41">
        <v>31</v>
      </c>
      <c r="B32" s="42">
        <v>46218</v>
      </c>
      <c r="C32" s="43" t="s">
        <v>49</v>
      </c>
      <c r="D32" s="43" t="s">
        <v>67</v>
      </c>
      <c r="E32" s="43" t="s">
        <v>23</v>
      </c>
      <c r="F32" s="44"/>
      <c r="G32" s="41"/>
      <c r="H32" s="41"/>
      <c r="I32" s="41">
        <f>430+30</f>
        <v>460</v>
      </c>
      <c r="J32" s="45"/>
      <c r="K32" s="41"/>
      <c r="L32" s="41">
        <v>20</v>
      </c>
      <c r="M32" s="46"/>
      <c r="N32" s="46"/>
      <c r="O32" s="46"/>
      <c r="P32" s="47">
        <f t="shared" si="2"/>
        <v>460</v>
      </c>
      <c r="Q32" s="47">
        <f t="shared" si="3"/>
        <v>20</v>
      </c>
      <c r="R32" s="41">
        <v>500</v>
      </c>
      <c r="S32" s="48"/>
      <c r="T32" s="41"/>
      <c r="U32" s="52"/>
      <c r="V32" s="50"/>
    </row>
    <row r="33" spans="1:22" s="2" customFormat="1" ht="22.5" customHeight="1" x14ac:dyDescent="0.15">
      <c r="A33" s="23">
        <v>32</v>
      </c>
      <c r="B33" s="35">
        <v>46218</v>
      </c>
      <c r="C33" s="36" t="s">
        <v>55</v>
      </c>
      <c r="D33" s="36" t="s">
        <v>68</v>
      </c>
      <c r="E33" s="36" t="s">
        <v>28</v>
      </c>
      <c r="F33" s="37"/>
      <c r="G33" s="38"/>
      <c r="H33" s="32"/>
      <c r="I33" s="32">
        <v>80</v>
      </c>
      <c r="J33" s="39"/>
      <c r="K33" s="23"/>
      <c r="L33" s="23"/>
      <c r="M33" s="40"/>
      <c r="N33" s="40"/>
      <c r="O33" s="40"/>
      <c r="P33" s="18">
        <f t="shared" si="2"/>
        <v>80</v>
      </c>
      <c r="Q33" s="18">
        <f t="shared" si="3"/>
        <v>0</v>
      </c>
      <c r="R33" s="32">
        <v>500</v>
      </c>
      <c r="S33" s="25"/>
      <c r="T33" s="32"/>
      <c r="U33" s="33"/>
      <c r="V33" s="34"/>
    </row>
    <row r="34" spans="1:22" s="2" customFormat="1" ht="22.5" customHeight="1" x14ac:dyDescent="0.15">
      <c r="A34" s="23">
        <v>33</v>
      </c>
      <c r="B34" s="35">
        <v>46219</v>
      </c>
      <c r="C34" s="36" t="s">
        <v>59</v>
      </c>
      <c r="D34" s="36" t="s">
        <v>69</v>
      </c>
      <c r="E34" s="36" t="s">
        <v>23</v>
      </c>
      <c r="F34" s="37"/>
      <c r="G34" s="38"/>
      <c r="H34" s="32"/>
      <c r="I34" s="32">
        <f>280+30</f>
        <v>310</v>
      </c>
      <c r="J34" s="39"/>
      <c r="K34" s="23"/>
      <c r="L34" s="23"/>
      <c r="M34" s="40"/>
      <c r="N34" s="40"/>
      <c r="O34" s="40"/>
      <c r="P34" s="18">
        <f t="shared" si="2"/>
        <v>310</v>
      </c>
      <c r="Q34" s="18">
        <f t="shared" si="3"/>
        <v>0</v>
      </c>
      <c r="R34" s="32">
        <v>500</v>
      </c>
      <c r="S34" s="25"/>
      <c r="T34" s="32">
        <v>450</v>
      </c>
      <c r="U34" s="51" t="s">
        <v>70</v>
      </c>
      <c r="V34" s="34"/>
    </row>
    <row r="35" spans="1:22" s="2" customFormat="1" ht="22.5" customHeight="1" x14ac:dyDescent="0.15">
      <c r="A35" s="23">
        <v>34</v>
      </c>
      <c r="B35" s="35">
        <v>46219</v>
      </c>
      <c r="C35" s="36" t="s">
        <v>24</v>
      </c>
      <c r="D35" s="36" t="s">
        <v>25</v>
      </c>
      <c r="E35" s="36" t="s">
        <v>23</v>
      </c>
      <c r="F35" s="37"/>
      <c r="G35" s="38"/>
      <c r="H35" s="32"/>
      <c r="I35" s="32">
        <v>30</v>
      </c>
      <c r="J35" s="39"/>
      <c r="K35" s="23"/>
      <c r="L35" s="23"/>
      <c r="M35" s="40"/>
      <c r="N35" s="40"/>
      <c r="O35" s="40"/>
      <c r="P35" s="18">
        <f t="shared" si="2"/>
        <v>30</v>
      </c>
      <c r="Q35" s="18">
        <f t="shared" si="3"/>
        <v>0</v>
      </c>
      <c r="R35" s="32">
        <v>450</v>
      </c>
      <c r="S35" s="25"/>
      <c r="T35" s="32"/>
      <c r="U35" s="53"/>
      <c r="V35" s="34"/>
    </row>
    <row r="36" spans="1:22" s="1" customFormat="1" ht="22.5" customHeight="1" x14ac:dyDescent="0.15">
      <c r="A36" s="23">
        <v>35</v>
      </c>
      <c r="B36" s="24">
        <v>46220</v>
      </c>
      <c r="C36" s="25" t="s">
        <v>71</v>
      </c>
      <c r="D36" s="25" t="s">
        <v>72</v>
      </c>
      <c r="E36" s="25" t="s">
        <v>28</v>
      </c>
      <c r="F36" s="26"/>
      <c r="G36" s="27"/>
      <c r="H36" s="28">
        <v>38</v>
      </c>
      <c r="I36" s="28">
        <v>520</v>
      </c>
      <c r="J36" s="29"/>
      <c r="K36" s="30">
        <v>80.5</v>
      </c>
      <c r="L36" s="30"/>
      <c r="M36" s="31"/>
      <c r="N36" s="31"/>
      <c r="O36" s="31"/>
      <c r="P36" s="20">
        <f t="shared" si="2"/>
        <v>558</v>
      </c>
      <c r="Q36" s="20">
        <f t="shared" si="3"/>
        <v>80.5</v>
      </c>
      <c r="R36" s="28">
        <v>400</v>
      </c>
      <c r="S36" s="25" t="s">
        <v>51</v>
      </c>
      <c r="T36" s="28"/>
      <c r="U36" s="54"/>
      <c r="V36" s="34">
        <v>12</v>
      </c>
    </row>
    <row r="37" spans="1:22" s="1" customFormat="1" ht="22.5" customHeight="1" x14ac:dyDescent="0.15">
      <c r="A37" s="23">
        <v>36</v>
      </c>
      <c r="B37" s="24">
        <v>46220</v>
      </c>
      <c r="C37" s="25" t="s">
        <v>53</v>
      </c>
      <c r="D37" s="25" t="s">
        <v>22</v>
      </c>
      <c r="E37" s="25" t="s">
        <v>23</v>
      </c>
      <c r="F37" s="26"/>
      <c r="G37" s="27"/>
      <c r="H37" s="28"/>
      <c r="I37" s="28">
        <v>60</v>
      </c>
      <c r="J37" s="29"/>
      <c r="K37" s="30"/>
      <c r="L37" s="30"/>
      <c r="M37" s="31"/>
      <c r="N37" s="31"/>
      <c r="O37" s="31"/>
      <c r="P37" s="20">
        <f t="shared" si="2"/>
        <v>60</v>
      </c>
      <c r="Q37" s="20">
        <f t="shared" si="3"/>
        <v>0</v>
      </c>
      <c r="R37" s="28">
        <v>400</v>
      </c>
      <c r="S37" s="25"/>
      <c r="T37" s="32"/>
      <c r="U37" s="51"/>
      <c r="V37" s="34">
        <v>13</v>
      </c>
    </row>
    <row r="38" spans="1:22" s="2" customFormat="1" ht="22.5" customHeight="1" x14ac:dyDescent="0.15">
      <c r="A38" s="23">
        <v>37</v>
      </c>
      <c r="B38" s="35">
        <v>46220</v>
      </c>
      <c r="C38" s="36" t="s">
        <v>24</v>
      </c>
      <c r="D38" s="36" t="s">
        <v>25</v>
      </c>
      <c r="E38" s="36" t="s">
        <v>23</v>
      </c>
      <c r="F38" s="37"/>
      <c r="G38" s="38"/>
      <c r="H38" s="32"/>
      <c r="I38" s="32">
        <v>30</v>
      </c>
      <c r="J38" s="39"/>
      <c r="K38" s="23"/>
      <c r="L38" s="23"/>
      <c r="M38" s="40"/>
      <c r="N38" s="40"/>
      <c r="O38" s="40"/>
      <c r="P38" s="18">
        <f t="shared" si="2"/>
        <v>30</v>
      </c>
      <c r="Q38" s="18">
        <f t="shared" si="3"/>
        <v>0</v>
      </c>
      <c r="R38" s="32">
        <v>450</v>
      </c>
      <c r="S38" s="25"/>
      <c r="T38" s="32"/>
      <c r="U38" s="53"/>
      <c r="V38" s="34"/>
    </row>
    <row r="39" spans="1:22" s="2" customFormat="1" ht="22.5" customHeight="1" x14ac:dyDescent="0.15">
      <c r="A39" s="23">
        <v>38</v>
      </c>
      <c r="B39" s="35">
        <v>46220</v>
      </c>
      <c r="C39" s="36" t="s">
        <v>55</v>
      </c>
      <c r="D39" s="36" t="s">
        <v>68</v>
      </c>
      <c r="E39" s="36" t="s">
        <v>28</v>
      </c>
      <c r="F39" s="37"/>
      <c r="G39" s="38"/>
      <c r="H39" s="32"/>
      <c r="I39" s="32">
        <v>80</v>
      </c>
      <c r="J39" s="39"/>
      <c r="K39" s="23"/>
      <c r="L39" s="23"/>
      <c r="M39" s="40"/>
      <c r="N39" s="40"/>
      <c r="O39" s="40"/>
      <c r="P39" s="18">
        <f t="shared" si="2"/>
        <v>80</v>
      </c>
      <c r="Q39" s="18">
        <f t="shared" si="3"/>
        <v>0</v>
      </c>
      <c r="R39" s="32">
        <v>500</v>
      </c>
      <c r="S39" s="25"/>
      <c r="T39" s="32"/>
      <c r="U39" s="53"/>
      <c r="V39" s="34"/>
    </row>
    <row r="40" spans="1:22" s="1" customFormat="1" ht="22.5" customHeight="1" x14ac:dyDescent="0.15">
      <c r="A40" s="23">
        <v>39</v>
      </c>
      <c r="B40" s="24">
        <v>46221</v>
      </c>
      <c r="C40" s="25" t="s">
        <v>62</v>
      </c>
      <c r="D40" s="25" t="s">
        <v>22</v>
      </c>
      <c r="E40" s="25" t="s">
        <v>23</v>
      </c>
      <c r="F40" s="26"/>
      <c r="G40" s="27"/>
      <c r="H40" s="28"/>
      <c r="I40" s="28">
        <v>60</v>
      </c>
      <c r="J40" s="29"/>
      <c r="K40" s="30"/>
      <c r="L40" s="30"/>
      <c r="M40" s="31"/>
      <c r="N40" s="31"/>
      <c r="O40" s="31"/>
      <c r="P40" s="20">
        <f t="shared" si="2"/>
        <v>60</v>
      </c>
      <c r="Q40" s="20">
        <f t="shared" si="3"/>
        <v>0</v>
      </c>
      <c r="R40" s="28">
        <v>400</v>
      </c>
      <c r="S40" s="25"/>
      <c r="T40" s="32"/>
      <c r="U40" s="51"/>
      <c r="V40" s="34">
        <v>14</v>
      </c>
    </row>
    <row r="41" spans="1:22" s="1" customFormat="1" ht="22.5" customHeight="1" x14ac:dyDescent="0.15">
      <c r="A41" s="23">
        <v>40</v>
      </c>
      <c r="B41" s="24">
        <v>46223</v>
      </c>
      <c r="C41" s="25" t="s">
        <v>73</v>
      </c>
      <c r="D41" s="25" t="s">
        <v>74</v>
      </c>
      <c r="E41" s="25" t="s">
        <v>28</v>
      </c>
      <c r="F41" s="26"/>
      <c r="G41" s="27"/>
      <c r="H41" s="28"/>
      <c r="I41" s="28">
        <v>40</v>
      </c>
      <c r="J41" s="29"/>
      <c r="K41" s="30"/>
      <c r="L41" s="30"/>
      <c r="M41" s="31"/>
      <c r="N41" s="31"/>
      <c r="O41" s="31"/>
      <c r="P41" s="20">
        <f t="shared" si="2"/>
        <v>40</v>
      </c>
      <c r="Q41" s="20">
        <f t="shared" si="3"/>
        <v>0</v>
      </c>
      <c r="R41" s="28">
        <v>400</v>
      </c>
      <c r="S41" s="25"/>
      <c r="T41" s="32">
        <v>100</v>
      </c>
      <c r="U41" s="51" t="s">
        <v>75</v>
      </c>
      <c r="V41" s="34">
        <v>15</v>
      </c>
    </row>
    <row r="42" spans="1:22" s="2" customFormat="1" ht="22.5" customHeight="1" x14ac:dyDescent="0.15">
      <c r="A42" s="23">
        <v>41</v>
      </c>
      <c r="B42" s="35">
        <v>46223</v>
      </c>
      <c r="C42" s="36" t="s">
        <v>59</v>
      </c>
      <c r="D42" s="36" t="s">
        <v>76</v>
      </c>
      <c r="E42" s="36" t="s">
        <v>23</v>
      </c>
      <c r="F42" s="37"/>
      <c r="G42" s="38"/>
      <c r="H42" s="32"/>
      <c r="I42" s="32">
        <v>30</v>
      </c>
      <c r="J42" s="39"/>
      <c r="K42" s="23"/>
      <c r="L42" s="23"/>
      <c r="M42" s="40"/>
      <c r="N42" s="40"/>
      <c r="O42" s="40"/>
      <c r="P42" s="18">
        <f t="shared" ref="P42:P59" si="4">G42+H42+I42+J42</f>
        <v>30</v>
      </c>
      <c r="Q42" s="18">
        <f t="shared" ref="Q42:Q59" si="5">+K42+L42+M42+N42+O42</f>
        <v>0</v>
      </c>
      <c r="R42" s="32">
        <v>500</v>
      </c>
      <c r="S42" s="25"/>
      <c r="T42" s="32"/>
      <c r="U42" s="51"/>
      <c r="V42" s="34"/>
    </row>
    <row r="43" spans="1:22" s="2" customFormat="1" ht="22.5" customHeight="1" x14ac:dyDescent="0.15">
      <c r="A43" s="23">
        <v>42</v>
      </c>
      <c r="B43" s="35">
        <v>46223</v>
      </c>
      <c r="C43" s="36" t="s">
        <v>55</v>
      </c>
      <c r="D43" s="36" t="s">
        <v>68</v>
      </c>
      <c r="E43" s="36" t="s">
        <v>28</v>
      </c>
      <c r="F43" s="37"/>
      <c r="G43" s="38"/>
      <c r="H43" s="32"/>
      <c r="I43" s="32">
        <v>80</v>
      </c>
      <c r="J43" s="39"/>
      <c r="K43" s="23"/>
      <c r="L43" s="23"/>
      <c r="M43" s="40"/>
      <c r="N43" s="40"/>
      <c r="O43" s="40"/>
      <c r="P43" s="18">
        <f t="shared" si="4"/>
        <v>80</v>
      </c>
      <c r="Q43" s="18">
        <f t="shared" si="5"/>
        <v>0</v>
      </c>
      <c r="R43" s="32">
        <v>500</v>
      </c>
      <c r="S43" s="25"/>
      <c r="T43" s="32"/>
      <c r="U43" s="51"/>
      <c r="V43" s="34"/>
    </row>
    <row r="44" spans="1:22" s="1" customFormat="1" ht="22.5" customHeight="1" x14ac:dyDescent="0.15">
      <c r="A44" s="23">
        <v>43</v>
      </c>
      <c r="B44" s="24">
        <v>46224</v>
      </c>
      <c r="C44" s="25" t="s">
        <v>77</v>
      </c>
      <c r="D44" s="25" t="s">
        <v>78</v>
      </c>
      <c r="E44" s="25" t="s">
        <v>23</v>
      </c>
      <c r="F44" s="26"/>
      <c r="G44" s="27"/>
      <c r="H44" s="28"/>
      <c r="I44" s="28">
        <v>300</v>
      </c>
      <c r="J44" s="29"/>
      <c r="K44" s="30"/>
      <c r="L44" s="30"/>
      <c r="M44" s="31"/>
      <c r="N44" s="31"/>
      <c r="O44" s="31"/>
      <c r="P44" s="20">
        <f t="shared" si="4"/>
        <v>300</v>
      </c>
      <c r="Q44" s="20">
        <f t="shared" si="5"/>
        <v>0</v>
      </c>
      <c r="R44" s="28">
        <v>400</v>
      </c>
      <c r="S44" s="25"/>
      <c r="T44" s="32">
        <v>100</v>
      </c>
      <c r="U44" s="51" t="s">
        <v>61</v>
      </c>
      <c r="V44" s="34">
        <v>16</v>
      </c>
    </row>
    <row r="45" spans="1:22" s="2" customFormat="1" ht="22.5" customHeight="1" x14ac:dyDescent="0.15">
      <c r="A45" s="23">
        <v>44</v>
      </c>
      <c r="B45" s="35">
        <v>46224</v>
      </c>
      <c r="C45" s="36" t="s">
        <v>26</v>
      </c>
      <c r="D45" s="36" t="s">
        <v>79</v>
      </c>
      <c r="E45" s="36" t="s">
        <v>28</v>
      </c>
      <c r="F45" s="37"/>
      <c r="G45" s="38"/>
      <c r="H45" s="32"/>
      <c r="I45" s="32"/>
      <c r="J45" s="39"/>
      <c r="K45" s="23"/>
      <c r="L45" s="23"/>
      <c r="M45" s="40"/>
      <c r="N45" s="40"/>
      <c r="O45" s="40"/>
      <c r="P45" s="18">
        <f t="shared" si="4"/>
        <v>0</v>
      </c>
      <c r="Q45" s="18">
        <f t="shared" si="5"/>
        <v>0</v>
      </c>
      <c r="R45" s="32">
        <v>700</v>
      </c>
      <c r="S45" s="25"/>
      <c r="T45" s="32"/>
      <c r="U45" s="33" t="s">
        <v>80</v>
      </c>
      <c r="V45" s="34"/>
    </row>
    <row r="46" spans="1:22" s="1" customFormat="1" ht="22.5" customHeight="1" x14ac:dyDescent="0.15">
      <c r="A46" s="23">
        <v>45</v>
      </c>
      <c r="B46" s="24">
        <v>46225</v>
      </c>
      <c r="C46" s="25" t="s">
        <v>81</v>
      </c>
      <c r="D46" s="25" t="s">
        <v>82</v>
      </c>
      <c r="E46" s="25" t="s">
        <v>23</v>
      </c>
      <c r="F46" s="26"/>
      <c r="G46" s="27"/>
      <c r="H46" s="28"/>
      <c r="I46" s="28"/>
      <c r="J46" s="29"/>
      <c r="K46" s="30"/>
      <c r="L46" s="30"/>
      <c r="M46" s="31"/>
      <c r="N46" s="31"/>
      <c r="O46" s="31"/>
      <c r="P46" s="20">
        <f t="shared" si="4"/>
        <v>0</v>
      </c>
      <c r="Q46" s="20">
        <f t="shared" si="5"/>
        <v>0</v>
      </c>
      <c r="R46" s="28">
        <v>400</v>
      </c>
      <c r="S46" s="25"/>
      <c r="T46" s="32"/>
      <c r="U46" s="51"/>
      <c r="V46" s="34">
        <v>17</v>
      </c>
    </row>
    <row r="47" spans="1:22" s="3" customFormat="1" ht="22.5" customHeight="1" x14ac:dyDescent="0.15">
      <c r="A47" s="41">
        <v>46</v>
      </c>
      <c r="B47" s="42">
        <v>46225</v>
      </c>
      <c r="C47" s="43" t="s">
        <v>35</v>
      </c>
      <c r="D47" s="43" t="s">
        <v>83</v>
      </c>
      <c r="E47" s="43" t="s">
        <v>28</v>
      </c>
      <c r="F47" s="44"/>
      <c r="G47" s="41"/>
      <c r="H47" s="41"/>
      <c r="I47" s="41">
        <v>530</v>
      </c>
      <c r="J47" s="45"/>
      <c r="K47" s="41"/>
      <c r="L47" s="41">
        <v>30</v>
      </c>
      <c r="M47" s="46"/>
      <c r="N47" s="46"/>
      <c r="O47" s="46"/>
      <c r="P47" s="47">
        <f t="shared" si="4"/>
        <v>530</v>
      </c>
      <c r="Q47" s="47">
        <f t="shared" si="5"/>
        <v>30</v>
      </c>
      <c r="R47" s="41">
        <v>500</v>
      </c>
      <c r="S47" s="48"/>
      <c r="T47" s="41"/>
      <c r="U47" s="49"/>
      <c r="V47" s="50"/>
    </row>
    <row r="48" spans="1:22" s="2" customFormat="1" ht="22.5" customHeight="1" x14ac:dyDescent="0.15">
      <c r="A48" s="23">
        <v>47</v>
      </c>
      <c r="B48" s="35">
        <v>46225</v>
      </c>
      <c r="C48" s="36" t="s">
        <v>24</v>
      </c>
      <c r="D48" s="36" t="s">
        <v>84</v>
      </c>
      <c r="E48" s="36" t="s">
        <v>23</v>
      </c>
      <c r="F48" s="37"/>
      <c r="G48" s="38"/>
      <c r="H48" s="32"/>
      <c r="I48" s="32"/>
      <c r="J48" s="39"/>
      <c r="K48" s="23"/>
      <c r="L48" s="23"/>
      <c r="M48" s="40"/>
      <c r="N48" s="40"/>
      <c r="O48" s="40"/>
      <c r="P48" s="18">
        <f t="shared" si="4"/>
        <v>0</v>
      </c>
      <c r="Q48" s="18">
        <f t="shared" si="5"/>
        <v>0</v>
      </c>
      <c r="R48" s="28">
        <v>400</v>
      </c>
      <c r="S48" s="25" t="s">
        <v>51</v>
      </c>
      <c r="T48" s="32"/>
      <c r="U48" s="33"/>
      <c r="V48" s="34">
        <v>18</v>
      </c>
    </row>
    <row r="49" spans="1:22" s="2" customFormat="1" ht="22.5" customHeight="1" x14ac:dyDescent="0.15">
      <c r="A49" s="23">
        <v>48</v>
      </c>
      <c r="B49" s="35">
        <v>46226</v>
      </c>
      <c r="C49" s="36" t="s">
        <v>37</v>
      </c>
      <c r="D49" s="36" t="s">
        <v>85</v>
      </c>
      <c r="E49" s="36" t="s">
        <v>28</v>
      </c>
      <c r="F49" s="37"/>
      <c r="G49" s="38"/>
      <c r="H49" s="32">
        <v>38</v>
      </c>
      <c r="I49" s="32">
        <f>50+20</f>
        <v>70</v>
      </c>
      <c r="J49" s="39"/>
      <c r="K49" s="23"/>
      <c r="L49" s="23"/>
      <c r="M49" s="40"/>
      <c r="N49" s="40"/>
      <c r="O49" s="40"/>
      <c r="P49" s="18">
        <f t="shared" si="4"/>
        <v>108</v>
      </c>
      <c r="Q49" s="18">
        <f t="shared" si="5"/>
        <v>0</v>
      </c>
      <c r="R49" s="28">
        <v>400</v>
      </c>
      <c r="S49" s="25" t="s">
        <v>51</v>
      </c>
      <c r="T49" s="32">
        <v>100</v>
      </c>
      <c r="U49" s="33" t="s">
        <v>86</v>
      </c>
      <c r="V49" s="34">
        <v>19</v>
      </c>
    </row>
    <row r="50" spans="1:22" s="2" customFormat="1" ht="22.5" customHeight="1" x14ac:dyDescent="0.15">
      <c r="A50" s="23">
        <v>49</v>
      </c>
      <c r="B50" s="35">
        <v>46226</v>
      </c>
      <c r="C50" s="36" t="s">
        <v>49</v>
      </c>
      <c r="D50" s="36" t="s">
        <v>67</v>
      </c>
      <c r="E50" s="36" t="s">
        <v>23</v>
      </c>
      <c r="F50" s="37"/>
      <c r="G50" s="38"/>
      <c r="H50" s="32"/>
      <c r="I50" s="32">
        <f>430+50</f>
        <v>480</v>
      </c>
      <c r="J50" s="39"/>
      <c r="K50" s="23"/>
      <c r="L50" s="23"/>
      <c r="M50" s="40"/>
      <c r="N50" s="40"/>
      <c r="O50" s="40"/>
      <c r="P50" s="18">
        <f t="shared" si="4"/>
        <v>480</v>
      </c>
      <c r="Q50" s="18">
        <f t="shared" si="5"/>
        <v>0</v>
      </c>
      <c r="R50" s="32">
        <v>500</v>
      </c>
      <c r="S50" s="25"/>
      <c r="T50" s="32"/>
      <c r="U50" s="33"/>
      <c r="V50" s="34"/>
    </row>
    <row r="51" spans="1:22" s="2" customFormat="1" ht="22.5" customHeight="1" x14ac:dyDescent="0.15">
      <c r="A51" s="23">
        <v>50</v>
      </c>
      <c r="B51" s="35">
        <v>46226</v>
      </c>
      <c r="C51" s="36" t="s">
        <v>49</v>
      </c>
      <c r="D51" s="36" t="s">
        <v>50</v>
      </c>
      <c r="E51" s="36" t="s">
        <v>28</v>
      </c>
      <c r="F51" s="37"/>
      <c r="G51" s="38"/>
      <c r="H51" s="32"/>
      <c r="I51" s="32"/>
      <c r="J51" s="39"/>
      <c r="K51" s="23"/>
      <c r="L51" s="23"/>
      <c r="M51" s="40"/>
      <c r="N51" s="40"/>
      <c r="O51" s="40"/>
      <c r="P51" s="18">
        <f t="shared" si="4"/>
        <v>0</v>
      </c>
      <c r="Q51" s="18">
        <f t="shared" si="5"/>
        <v>0</v>
      </c>
      <c r="R51" s="32">
        <v>500</v>
      </c>
      <c r="S51" s="25"/>
      <c r="T51" s="32">
        <v>600</v>
      </c>
      <c r="U51" s="33" t="s">
        <v>87</v>
      </c>
      <c r="V51" s="34"/>
    </row>
    <row r="52" spans="1:22" s="1" customFormat="1" ht="22.5" customHeight="1" x14ac:dyDescent="0.15">
      <c r="A52" s="23">
        <v>51</v>
      </c>
      <c r="B52" s="24">
        <v>46227</v>
      </c>
      <c r="C52" s="25" t="s">
        <v>88</v>
      </c>
      <c r="D52" s="25" t="s">
        <v>89</v>
      </c>
      <c r="E52" s="25" t="s">
        <v>23</v>
      </c>
      <c r="F52" s="26"/>
      <c r="G52" s="27"/>
      <c r="H52" s="28"/>
      <c r="I52" s="28">
        <f>140+140</f>
        <v>280</v>
      </c>
      <c r="J52" s="29"/>
      <c r="K52" s="30"/>
      <c r="L52" s="30"/>
      <c r="M52" s="31"/>
      <c r="N52" s="31"/>
      <c r="O52" s="31"/>
      <c r="P52" s="20">
        <f t="shared" si="4"/>
        <v>280</v>
      </c>
      <c r="Q52" s="20">
        <f t="shared" si="5"/>
        <v>0</v>
      </c>
      <c r="R52" s="28">
        <v>400</v>
      </c>
      <c r="S52" s="25" t="s">
        <v>45</v>
      </c>
      <c r="T52" s="28"/>
      <c r="U52" s="55"/>
      <c r="V52" s="34">
        <v>20</v>
      </c>
    </row>
    <row r="53" spans="1:22" s="1" customFormat="1" ht="22.5" customHeight="1" x14ac:dyDescent="0.15">
      <c r="A53" s="23">
        <v>52</v>
      </c>
      <c r="B53" s="24">
        <v>46227</v>
      </c>
      <c r="C53" s="25" t="s">
        <v>49</v>
      </c>
      <c r="D53" s="25" t="s">
        <v>50</v>
      </c>
      <c r="E53" s="25" t="s">
        <v>28</v>
      </c>
      <c r="F53" s="26"/>
      <c r="G53" s="27"/>
      <c r="H53" s="28"/>
      <c r="I53" s="28"/>
      <c r="J53" s="29"/>
      <c r="K53" s="30"/>
      <c r="L53" s="30"/>
      <c r="M53" s="31"/>
      <c r="N53" s="31"/>
      <c r="O53" s="31"/>
      <c r="P53" s="20">
        <f t="shared" si="4"/>
        <v>0</v>
      </c>
      <c r="Q53" s="20">
        <f t="shared" si="5"/>
        <v>0</v>
      </c>
      <c r="R53" s="28">
        <v>400</v>
      </c>
      <c r="S53" s="25" t="s">
        <v>45</v>
      </c>
      <c r="T53" s="28"/>
      <c r="U53" s="55"/>
      <c r="V53" s="34">
        <v>21</v>
      </c>
    </row>
    <row r="54" spans="1:22" s="1" customFormat="1" ht="39.950000000000003" customHeight="1" x14ac:dyDescent="0.15">
      <c r="A54" s="23">
        <v>53</v>
      </c>
      <c r="B54" s="24">
        <v>46227</v>
      </c>
      <c r="C54" s="25" t="s">
        <v>37</v>
      </c>
      <c r="D54" s="25" t="s">
        <v>85</v>
      </c>
      <c r="E54" s="25" t="s">
        <v>28</v>
      </c>
      <c r="F54" s="26"/>
      <c r="G54" s="27"/>
      <c r="H54" s="28"/>
      <c r="I54" s="28"/>
      <c r="J54" s="29"/>
      <c r="K54" s="30"/>
      <c r="L54" s="30"/>
      <c r="M54" s="31"/>
      <c r="N54" s="31"/>
      <c r="O54" s="31"/>
      <c r="P54" s="20">
        <f t="shared" si="4"/>
        <v>0</v>
      </c>
      <c r="Q54" s="20">
        <f t="shared" si="5"/>
        <v>0</v>
      </c>
      <c r="R54" s="28">
        <v>400</v>
      </c>
      <c r="S54" s="25" t="s">
        <v>45</v>
      </c>
      <c r="T54" s="28"/>
      <c r="U54" s="56"/>
      <c r="V54" s="34">
        <v>22</v>
      </c>
    </row>
    <row r="55" spans="1:22" s="1" customFormat="1" ht="22.5" customHeight="1" x14ac:dyDescent="0.15">
      <c r="A55" s="23">
        <v>54</v>
      </c>
      <c r="B55" s="24">
        <v>46227</v>
      </c>
      <c r="C55" s="25" t="s">
        <v>73</v>
      </c>
      <c r="D55" s="25" t="s">
        <v>90</v>
      </c>
      <c r="E55" s="25" t="s">
        <v>23</v>
      </c>
      <c r="F55" s="26"/>
      <c r="G55" s="27"/>
      <c r="H55" s="28"/>
      <c r="I55" s="28">
        <v>40</v>
      </c>
      <c r="J55" s="29"/>
      <c r="K55" s="30"/>
      <c r="L55" s="30"/>
      <c r="M55" s="31"/>
      <c r="N55" s="31"/>
      <c r="O55" s="31"/>
      <c r="P55" s="20">
        <f t="shared" si="4"/>
        <v>40</v>
      </c>
      <c r="Q55" s="20">
        <f t="shared" si="5"/>
        <v>0</v>
      </c>
      <c r="R55" s="28">
        <v>400</v>
      </c>
      <c r="S55" s="25"/>
      <c r="T55" s="32">
        <v>100</v>
      </c>
      <c r="U55" s="33" t="s">
        <v>91</v>
      </c>
      <c r="V55" s="34">
        <v>23</v>
      </c>
    </row>
    <row r="56" spans="1:22" s="1" customFormat="1" ht="22.5" customHeight="1" x14ac:dyDescent="0.15">
      <c r="A56" s="23">
        <v>55</v>
      </c>
      <c r="B56" s="24">
        <v>46227</v>
      </c>
      <c r="C56" s="25" t="s">
        <v>55</v>
      </c>
      <c r="D56" s="25" t="s">
        <v>68</v>
      </c>
      <c r="E56" s="25" t="s">
        <v>28</v>
      </c>
      <c r="F56" s="26"/>
      <c r="G56" s="27"/>
      <c r="H56" s="28"/>
      <c r="I56" s="28">
        <v>80</v>
      </c>
      <c r="J56" s="29"/>
      <c r="K56" s="30"/>
      <c r="L56" s="30"/>
      <c r="M56" s="31"/>
      <c r="N56" s="31"/>
      <c r="O56" s="31"/>
      <c r="P56" s="20">
        <f t="shared" si="4"/>
        <v>80</v>
      </c>
      <c r="Q56" s="20">
        <f t="shared" si="5"/>
        <v>0</v>
      </c>
      <c r="R56" s="28">
        <v>400</v>
      </c>
      <c r="S56" s="25" t="s">
        <v>45</v>
      </c>
      <c r="T56" s="32"/>
      <c r="U56" s="33"/>
      <c r="V56" s="34">
        <v>24</v>
      </c>
    </row>
    <row r="57" spans="1:22" s="1" customFormat="1" ht="22.5" customHeight="1" x14ac:dyDescent="0.15">
      <c r="A57" s="23">
        <v>56</v>
      </c>
      <c r="B57" s="24">
        <v>46228</v>
      </c>
      <c r="C57" s="25" t="s">
        <v>33</v>
      </c>
      <c r="D57" s="25" t="s">
        <v>58</v>
      </c>
      <c r="E57" s="25" t="s">
        <v>23</v>
      </c>
      <c r="F57" s="26"/>
      <c r="G57" s="27"/>
      <c r="H57" s="28"/>
      <c r="I57" s="28">
        <v>126</v>
      </c>
      <c r="J57" s="29"/>
      <c r="K57" s="30"/>
      <c r="L57" s="30"/>
      <c r="M57" s="31">
        <v>80</v>
      </c>
      <c r="N57" s="31"/>
      <c r="O57" s="31"/>
      <c r="P57" s="20">
        <f t="shared" si="4"/>
        <v>126</v>
      </c>
      <c r="Q57" s="20">
        <f t="shared" si="5"/>
        <v>80</v>
      </c>
      <c r="R57" s="28">
        <v>400</v>
      </c>
      <c r="S57" s="25" t="s">
        <v>45</v>
      </c>
      <c r="T57" s="32"/>
      <c r="U57" s="33"/>
      <c r="V57" s="34">
        <v>25</v>
      </c>
    </row>
    <row r="58" spans="1:22" s="1" customFormat="1" ht="22.5" customHeight="1" x14ac:dyDescent="0.15">
      <c r="A58" s="23">
        <v>57</v>
      </c>
      <c r="B58" s="24">
        <v>46230</v>
      </c>
      <c r="C58" s="25" t="s">
        <v>53</v>
      </c>
      <c r="D58" s="25" t="s">
        <v>54</v>
      </c>
      <c r="E58" s="25" t="s">
        <v>23</v>
      </c>
      <c r="F58" s="26"/>
      <c r="G58" s="27"/>
      <c r="H58" s="28"/>
      <c r="I58" s="28">
        <v>66</v>
      </c>
      <c r="J58" s="29"/>
      <c r="K58" s="30"/>
      <c r="L58" s="30"/>
      <c r="M58" s="31"/>
      <c r="N58" s="31"/>
      <c r="O58" s="31"/>
      <c r="P58" s="20">
        <f t="shared" si="4"/>
        <v>66</v>
      </c>
      <c r="Q58" s="20">
        <f t="shared" si="5"/>
        <v>0</v>
      </c>
      <c r="R58" s="28">
        <v>400</v>
      </c>
      <c r="S58" s="25"/>
      <c r="T58" s="32"/>
      <c r="U58" s="33"/>
      <c r="V58" s="34">
        <v>26</v>
      </c>
    </row>
    <row r="59" spans="1:22" s="2" customFormat="1" ht="22.5" customHeight="1" x14ac:dyDescent="0.15">
      <c r="A59" s="23">
        <v>58</v>
      </c>
      <c r="B59" s="35">
        <v>46230</v>
      </c>
      <c r="C59" s="36" t="s">
        <v>26</v>
      </c>
      <c r="D59" s="36" t="s">
        <v>92</v>
      </c>
      <c r="E59" s="36" t="s">
        <v>23</v>
      </c>
      <c r="F59" s="37"/>
      <c r="G59" s="38"/>
      <c r="H59" s="32"/>
      <c r="I59" s="32"/>
      <c r="J59" s="39"/>
      <c r="K59" s="23"/>
      <c r="L59" s="23"/>
      <c r="M59" s="40"/>
      <c r="N59" s="40"/>
      <c r="O59" s="40"/>
      <c r="P59" s="18">
        <f t="shared" si="4"/>
        <v>0</v>
      </c>
      <c r="Q59" s="18">
        <f t="shared" si="5"/>
        <v>0</v>
      </c>
      <c r="R59" s="32">
        <v>600</v>
      </c>
      <c r="S59" s="25"/>
      <c r="T59" s="32">
        <v>100</v>
      </c>
      <c r="U59" s="33" t="s">
        <v>93</v>
      </c>
      <c r="V59" s="34"/>
    </row>
    <row r="60" spans="1:22" s="2" customFormat="1" ht="22.5" customHeight="1" x14ac:dyDescent="0.15">
      <c r="A60" s="23">
        <v>59</v>
      </c>
      <c r="B60" s="35">
        <v>46230</v>
      </c>
      <c r="C60" s="36" t="s">
        <v>26</v>
      </c>
      <c r="D60" s="36" t="s">
        <v>79</v>
      </c>
      <c r="E60" s="36" t="s">
        <v>28</v>
      </c>
      <c r="F60" s="37"/>
      <c r="G60" s="38"/>
      <c r="H60" s="32"/>
      <c r="I60" s="32"/>
      <c r="J60" s="39"/>
      <c r="K60" s="23"/>
      <c r="L60" s="23"/>
      <c r="M60" s="40"/>
      <c r="N60" s="40"/>
      <c r="O60" s="40"/>
      <c r="P60" s="18">
        <f t="shared" ref="P60:P65" si="6">G60+H60+I60+J60</f>
        <v>0</v>
      </c>
      <c r="Q60" s="18">
        <f t="shared" ref="Q60:Q65" si="7">+K60+L60+M60+N60+O60</f>
        <v>0</v>
      </c>
      <c r="R60" s="32">
        <v>600</v>
      </c>
      <c r="S60" s="25"/>
      <c r="T60" s="32"/>
      <c r="U60" s="57"/>
      <c r="V60" s="34"/>
    </row>
    <row r="61" spans="1:22" s="2" customFormat="1" ht="22.5" customHeight="1" x14ac:dyDescent="0.15">
      <c r="A61" s="23">
        <v>60</v>
      </c>
      <c r="B61" s="35">
        <v>46231</v>
      </c>
      <c r="C61" s="36" t="s">
        <v>71</v>
      </c>
      <c r="D61" s="36" t="s">
        <v>94</v>
      </c>
      <c r="E61" s="36" t="s">
        <v>28</v>
      </c>
      <c r="F61" s="37"/>
      <c r="G61" s="38"/>
      <c r="H61" s="32"/>
      <c r="I61" s="32">
        <v>45</v>
      </c>
      <c r="J61" s="39"/>
      <c r="K61" s="23"/>
      <c r="L61" s="23">
        <v>10</v>
      </c>
      <c r="M61" s="40"/>
      <c r="N61" s="40"/>
      <c r="O61" s="40"/>
      <c r="P61" s="18">
        <f t="shared" si="6"/>
        <v>45</v>
      </c>
      <c r="Q61" s="18">
        <f t="shared" si="7"/>
        <v>10</v>
      </c>
      <c r="R61" s="32">
        <v>500</v>
      </c>
      <c r="S61" s="25"/>
      <c r="T61" s="32"/>
      <c r="U61" s="33"/>
      <c r="V61" s="34"/>
    </row>
    <row r="62" spans="1:22" s="2" customFormat="1" ht="22.5" customHeight="1" x14ac:dyDescent="0.15">
      <c r="A62" s="23">
        <v>61</v>
      </c>
      <c r="B62" s="35">
        <v>46231</v>
      </c>
      <c r="C62" s="36" t="s">
        <v>24</v>
      </c>
      <c r="D62" s="36" t="s">
        <v>25</v>
      </c>
      <c r="E62" s="36" t="s">
        <v>23</v>
      </c>
      <c r="F62" s="37"/>
      <c r="G62" s="38"/>
      <c r="H62" s="32"/>
      <c r="I62" s="32">
        <v>30</v>
      </c>
      <c r="J62" s="39"/>
      <c r="K62" s="23"/>
      <c r="L62" s="23"/>
      <c r="M62" s="40"/>
      <c r="N62" s="40"/>
      <c r="O62" s="40"/>
      <c r="P62" s="18">
        <f t="shared" si="6"/>
        <v>30</v>
      </c>
      <c r="Q62" s="18">
        <f t="shared" si="7"/>
        <v>0</v>
      </c>
      <c r="R62" s="32">
        <v>450</v>
      </c>
      <c r="S62" s="25"/>
      <c r="T62" s="32"/>
      <c r="U62" s="33"/>
      <c r="V62" s="34"/>
    </row>
    <row r="63" spans="1:22" s="2" customFormat="1" ht="22.5" customHeight="1" x14ac:dyDescent="0.15">
      <c r="A63" s="23">
        <v>62</v>
      </c>
      <c r="B63" s="35">
        <v>46231</v>
      </c>
      <c r="C63" s="36" t="s">
        <v>24</v>
      </c>
      <c r="D63" s="36" t="s">
        <v>25</v>
      </c>
      <c r="E63" s="36" t="s">
        <v>23</v>
      </c>
      <c r="F63" s="37"/>
      <c r="G63" s="38"/>
      <c r="H63" s="32"/>
      <c r="I63" s="32">
        <v>30</v>
      </c>
      <c r="J63" s="39"/>
      <c r="K63" s="23"/>
      <c r="L63" s="23"/>
      <c r="M63" s="40"/>
      <c r="N63" s="40"/>
      <c r="O63" s="40"/>
      <c r="P63" s="18">
        <f t="shared" si="6"/>
        <v>30</v>
      </c>
      <c r="Q63" s="18">
        <f t="shared" si="7"/>
        <v>0</v>
      </c>
      <c r="R63" s="32">
        <v>450</v>
      </c>
      <c r="S63" s="25"/>
      <c r="T63" s="32"/>
      <c r="U63" s="33"/>
      <c r="V63" s="34"/>
    </row>
    <row r="64" spans="1:22" s="3" customFormat="1" ht="22.5" customHeight="1" x14ac:dyDescent="0.15">
      <c r="A64" s="41">
        <v>63</v>
      </c>
      <c r="B64" s="42">
        <v>46232</v>
      </c>
      <c r="C64" s="43" t="s">
        <v>24</v>
      </c>
      <c r="D64" s="43" t="s">
        <v>25</v>
      </c>
      <c r="E64" s="43" t="s">
        <v>23</v>
      </c>
      <c r="F64" s="44"/>
      <c r="G64" s="41"/>
      <c r="H64" s="41"/>
      <c r="I64" s="41">
        <v>30</v>
      </c>
      <c r="J64" s="45"/>
      <c r="K64" s="41"/>
      <c r="L64" s="41"/>
      <c r="M64" s="46"/>
      <c r="N64" s="46"/>
      <c r="O64" s="46"/>
      <c r="P64" s="47">
        <f t="shared" si="6"/>
        <v>30</v>
      </c>
      <c r="Q64" s="47">
        <f t="shared" si="7"/>
        <v>0</v>
      </c>
      <c r="R64" s="41">
        <v>450</v>
      </c>
      <c r="S64" s="48"/>
      <c r="T64" s="41"/>
      <c r="U64" s="49"/>
      <c r="V64" s="50"/>
    </row>
    <row r="65" spans="1:25" s="2" customFormat="1" ht="22.5" customHeight="1" x14ac:dyDescent="0.15">
      <c r="A65" s="23">
        <v>64</v>
      </c>
      <c r="B65" s="35">
        <v>46232</v>
      </c>
      <c r="C65" s="36" t="s">
        <v>24</v>
      </c>
      <c r="D65" s="36" t="s">
        <v>25</v>
      </c>
      <c r="E65" s="36" t="s">
        <v>23</v>
      </c>
      <c r="F65" s="37"/>
      <c r="G65" s="38"/>
      <c r="H65" s="32"/>
      <c r="I65" s="32">
        <v>30</v>
      </c>
      <c r="J65" s="39"/>
      <c r="K65" s="23"/>
      <c r="L65" s="23"/>
      <c r="M65" s="40"/>
      <c r="N65" s="40"/>
      <c r="O65" s="40"/>
      <c r="P65" s="18">
        <f t="shared" si="6"/>
        <v>30</v>
      </c>
      <c r="Q65" s="18">
        <f t="shared" si="7"/>
        <v>0</v>
      </c>
      <c r="R65" s="32">
        <v>450</v>
      </c>
      <c r="S65" s="25"/>
      <c r="T65" s="32"/>
      <c r="U65" s="33"/>
      <c r="V65" s="34"/>
    </row>
    <row r="66" spans="1:25" s="2" customFormat="1" ht="22.5" customHeight="1" x14ac:dyDescent="0.15">
      <c r="A66" s="23">
        <v>65</v>
      </c>
      <c r="B66" s="35">
        <v>46232</v>
      </c>
      <c r="C66" s="36" t="s">
        <v>30</v>
      </c>
      <c r="D66" s="36" t="s">
        <v>31</v>
      </c>
      <c r="E66" s="36" t="s">
        <v>28</v>
      </c>
      <c r="F66" s="37"/>
      <c r="G66" s="38"/>
      <c r="H66" s="32"/>
      <c r="I66" s="32">
        <v>55</v>
      </c>
      <c r="J66" s="39"/>
      <c r="K66" s="23"/>
      <c r="L66" s="23">
        <f>30+15</f>
        <v>45</v>
      </c>
      <c r="M66" s="40"/>
      <c r="N66" s="40"/>
      <c r="O66" s="40"/>
      <c r="P66" s="18">
        <f>G66+H66+I66+J66</f>
        <v>55</v>
      </c>
      <c r="Q66" s="18">
        <f>+K66+L66+M66+N66+O66</f>
        <v>45</v>
      </c>
      <c r="R66" s="32">
        <v>500</v>
      </c>
      <c r="S66" s="25"/>
      <c r="T66" s="32"/>
      <c r="U66" s="57"/>
      <c r="V66" s="34"/>
    </row>
    <row r="67" spans="1:25" s="2" customFormat="1" ht="22.5" customHeight="1" x14ac:dyDescent="0.15">
      <c r="A67" s="23">
        <v>66</v>
      </c>
      <c r="B67" s="35">
        <v>46233</v>
      </c>
      <c r="C67" s="36" t="s">
        <v>26</v>
      </c>
      <c r="D67" s="36" t="s">
        <v>46</v>
      </c>
      <c r="E67" s="36" t="s">
        <v>23</v>
      </c>
      <c r="F67" s="37"/>
      <c r="G67" s="38"/>
      <c r="H67" s="32"/>
      <c r="I67" s="32"/>
      <c r="J67" s="39"/>
      <c r="K67" s="23"/>
      <c r="L67" s="23"/>
      <c r="M67" s="40"/>
      <c r="N67" s="40"/>
      <c r="O67" s="40"/>
      <c r="P67" s="18">
        <f t="shared" ref="P67:P69" si="8">G67+H67+I67+J67</f>
        <v>0</v>
      </c>
      <c r="Q67" s="18">
        <f t="shared" ref="Q67:Q69" si="9">+K67+L67+M67+N67+O67</f>
        <v>0</v>
      </c>
      <c r="R67" s="28">
        <v>500</v>
      </c>
      <c r="S67" s="25"/>
      <c r="T67" s="32"/>
      <c r="U67" s="33" t="s">
        <v>47</v>
      </c>
      <c r="V67" s="34"/>
    </row>
    <row r="68" spans="1:25" s="2" customFormat="1" ht="22.5" customHeight="1" x14ac:dyDescent="0.15">
      <c r="A68" s="23">
        <v>67</v>
      </c>
      <c r="B68" s="35">
        <v>46233</v>
      </c>
      <c r="C68" s="36" t="s">
        <v>26</v>
      </c>
      <c r="D68" s="36" t="s">
        <v>27</v>
      </c>
      <c r="E68" s="36" t="s">
        <v>28</v>
      </c>
      <c r="F68" s="37"/>
      <c r="G68" s="38"/>
      <c r="H68" s="32"/>
      <c r="I68" s="32"/>
      <c r="J68" s="39"/>
      <c r="K68" s="23"/>
      <c r="L68" s="23"/>
      <c r="M68" s="40"/>
      <c r="N68" s="40"/>
      <c r="O68" s="40"/>
      <c r="P68" s="18">
        <f t="shared" si="8"/>
        <v>0</v>
      </c>
      <c r="Q68" s="18">
        <f t="shared" si="9"/>
        <v>0</v>
      </c>
      <c r="R68" s="28">
        <v>400</v>
      </c>
      <c r="S68" s="25"/>
      <c r="T68" s="32"/>
      <c r="U68" s="33"/>
      <c r="V68" s="34"/>
    </row>
    <row r="69" spans="1:25" s="2" customFormat="1" ht="22.5" customHeight="1" x14ac:dyDescent="0.15">
      <c r="A69" s="23">
        <v>68</v>
      </c>
      <c r="B69" s="35">
        <v>46233</v>
      </c>
      <c r="C69" s="36" t="s">
        <v>33</v>
      </c>
      <c r="D69" s="36" t="s">
        <v>58</v>
      </c>
      <c r="E69" s="36" t="s">
        <v>23</v>
      </c>
      <c r="F69" s="37"/>
      <c r="G69" s="38"/>
      <c r="H69" s="32"/>
      <c r="I69" s="32">
        <v>66</v>
      </c>
      <c r="J69" s="39"/>
      <c r="K69" s="23"/>
      <c r="L69" s="23"/>
      <c r="M69" s="40"/>
      <c r="N69" s="40"/>
      <c r="O69" s="40"/>
      <c r="P69" s="18">
        <f t="shared" si="8"/>
        <v>66</v>
      </c>
      <c r="Q69" s="18">
        <f t="shared" si="9"/>
        <v>0</v>
      </c>
      <c r="R69" s="32">
        <v>500</v>
      </c>
      <c r="S69" s="25"/>
      <c r="T69" s="32"/>
      <c r="U69" s="33"/>
      <c r="V69" s="34"/>
    </row>
    <row r="70" spans="1:25" s="2" customFormat="1" ht="22.5" customHeight="1" x14ac:dyDescent="0.15">
      <c r="A70" s="23">
        <v>69</v>
      </c>
      <c r="B70" s="35">
        <v>46233</v>
      </c>
      <c r="C70" s="36" t="s">
        <v>55</v>
      </c>
      <c r="D70" s="36" t="s">
        <v>68</v>
      </c>
      <c r="E70" s="36" t="s">
        <v>28</v>
      </c>
      <c r="F70" s="37"/>
      <c r="G70" s="38"/>
      <c r="H70" s="32"/>
      <c r="I70" s="32">
        <v>80</v>
      </c>
      <c r="J70" s="39"/>
      <c r="K70" s="23"/>
      <c r="L70" s="23"/>
      <c r="M70" s="40"/>
      <c r="N70" s="40"/>
      <c r="O70" s="40"/>
      <c r="P70" s="18">
        <f>G70+H70+I70+J70</f>
        <v>80</v>
      </c>
      <c r="Q70" s="18">
        <f>+K70+L70+M70+N70+O70</f>
        <v>0</v>
      </c>
      <c r="R70" s="32">
        <v>500</v>
      </c>
      <c r="S70" s="25"/>
      <c r="T70" s="32"/>
      <c r="U70" s="57"/>
      <c r="V70" s="34"/>
    </row>
    <row r="71" spans="1:25" s="1" customFormat="1" ht="22.5" customHeight="1" x14ac:dyDescent="0.15">
      <c r="A71" s="23">
        <v>70</v>
      </c>
      <c r="B71" s="24">
        <v>46234</v>
      </c>
      <c r="C71" s="25" t="s">
        <v>53</v>
      </c>
      <c r="D71" s="25" t="s">
        <v>54</v>
      </c>
      <c r="E71" s="25" t="s">
        <v>23</v>
      </c>
      <c r="F71" s="26"/>
      <c r="G71" s="27"/>
      <c r="H71" s="28"/>
      <c r="I71" s="28">
        <v>66</v>
      </c>
      <c r="J71" s="29"/>
      <c r="K71" s="30"/>
      <c r="L71" s="30"/>
      <c r="M71" s="31"/>
      <c r="N71" s="31"/>
      <c r="O71" s="31"/>
      <c r="P71" s="20">
        <f>G71+H71+I71+J71</f>
        <v>66</v>
      </c>
      <c r="Q71" s="20">
        <f>+K71+L71+M71+N71+O71</f>
        <v>0</v>
      </c>
      <c r="R71" s="28">
        <v>400</v>
      </c>
      <c r="S71" s="25"/>
      <c r="T71" s="32"/>
      <c r="U71" s="33"/>
      <c r="V71" s="34">
        <v>27</v>
      </c>
    </row>
    <row r="72" spans="1:25" s="2" customFormat="1" ht="22.5" customHeight="1" x14ac:dyDescent="0.15">
      <c r="A72" s="23"/>
      <c r="B72" s="58"/>
      <c r="C72" s="59"/>
      <c r="D72" s="59"/>
      <c r="E72" s="59"/>
      <c r="F72" s="37"/>
      <c r="G72" s="38"/>
      <c r="H72" s="32"/>
      <c r="I72" s="32"/>
      <c r="J72" s="39"/>
      <c r="K72" s="23"/>
      <c r="L72" s="23"/>
      <c r="M72" s="40"/>
      <c r="N72" s="40"/>
      <c r="O72" s="40"/>
      <c r="P72" s="18">
        <f>G72+H72+I72+J72</f>
        <v>0</v>
      </c>
      <c r="Q72" s="18">
        <f>+K72+L72+M72+N72+O72</f>
        <v>0</v>
      </c>
      <c r="R72" s="32"/>
      <c r="S72" s="28"/>
      <c r="T72" s="32"/>
      <c r="U72" s="60"/>
      <c r="V72" s="34"/>
    </row>
    <row r="73" spans="1:25" s="2" customFormat="1" ht="22.5" customHeight="1" x14ac:dyDescent="0.15">
      <c r="A73" s="23"/>
      <c r="B73" s="61"/>
      <c r="C73" s="62" t="s">
        <v>95</v>
      </c>
      <c r="D73" s="62"/>
      <c r="E73" s="63"/>
      <c r="F73" s="37"/>
      <c r="G73" s="38"/>
      <c r="H73" s="32"/>
      <c r="I73" s="32">
        <v>3000</v>
      </c>
      <c r="J73" s="39"/>
      <c r="K73" s="23"/>
      <c r="L73" s="23"/>
      <c r="M73" s="40"/>
      <c r="N73" s="40"/>
      <c r="O73" s="40"/>
      <c r="P73" s="47">
        <v>3000</v>
      </c>
      <c r="Q73" s="18">
        <f>+K73+L73+M73+N73+O73</f>
        <v>0</v>
      </c>
      <c r="R73" s="32"/>
      <c r="S73" s="28"/>
      <c r="T73" s="32"/>
      <c r="U73" s="60"/>
      <c r="V73" s="34"/>
    </row>
    <row r="74" spans="1:25" s="4" customFormat="1" ht="22.5" customHeight="1" x14ac:dyDescent="0.15">
      <c r="A74" s="32"/>
      <c r="B74" s="61"/>
      <c r="C74" s="59"/>
      <c r="D74" s="59"/>
      <c r="E74" s="59"/>
      <c r="F74" s="37"/>
      <c r="G74" s="38"/>
      <c r="H74" s="32"/>
      <c r="I74" s="32"/>
      <c r="J74" s="39"/>
      <c r="K74" s="23"/>
      <c r="L74" s="23"/>
      <c r="M74" s="40"/>
      <c r="N74" s="40"/>
      <c r="O74" s="40"/>
      <c r="P74" s="18">
        <f>G74+H74+I74+J74</f>
        <v>0</v>
      </c>
      <c r="Q74" s="17"/>
      <c r="R74" s="32"/>
      <c r="S74" s="28"/>
      <c r="T74" s="32"/>
      <c r="U74" s="64" t="s">
        <v>96</v>
      </c>
      <c r="V74" s="65"/>
    </row>
    <row r="75" spans="1:25" s="2" customFormat="1" ht="22.5" customHeight="1" x14ac:dyDescent="0.15">
      <c r="A75" s="23"/>
      <c r="B75" s="37"/>
      <c r="C75" s="66"/>
      <c r="D75" s="66"/>
      <c r="E75" s="37"/>
      <c r="F75" s="37"/>
      <c r="G75" s="38"/>
      <c r="H75" s="32"/>
      <c r="I75" s="32"/>
      <c r="J75" s="39"/>
      <c r="K75" s="23"/>
      <c r="L75" s="23"/>
      <c r="M75" s="23"/>
      <c r="N75" s="23"/>
      <c r="O75" s="23"/>
      <c r="P75" s="41">
        <f>SUM(P2:P74)</f>
        <v>10647</v>
      </c>
      <c r="Q75" s="47">
        <f>SUM(Q2:Q74)</f>
        <v>581.5</v>
      </c>
      <c r="R75" s="41">
        <f>SUM(R2:R74)</f>
        <v>31950</v>
      </c>
      <c r="S75" s="67"/>
      <c r="T75" s="41">
        <f>SUM(T2:T74)</f>
        <v>2150</v>
      </c>
      <c r="U75" s="68"/>
      <c r="V75" s="101" t="s">
        <v>97</v>
      </c>
      <c r="W75" s="101"/>
      <c r="X75" s="101"/>
    </row>
    <row r="76" spans="1:25" x14ac:dyDescent="0.15">
      <c r="B76" s="70" t="s">
        <v>98</v>
      </c>
      <c r="I76" s="71"/>
      <c r="J76" s="72"/>
      <c r="P76" s="102" t="s">
        <v>99</v>
      </c>
      <c r="Q76" s="102"/>
      <c r="R76" s="102"/>
      <c r="S76" s="103"/>
      <c r="T76" s="102"/>
      <c r="U76" s="112"/>
      <c r="W76" s="73"/>
      <c r="X76" s="73"/>
      <c r="Y76" s="73"/>
    </row>
    <row r="77" spans="1:25" ht="20.25" customHeight="1" x14ac:dyDescent="0.15">
      <c r="K77" s="74"/>
      <c r="L77" s="74"/>
      <c r="M77" s="75"/>
      <c r="N77" s="75"/>
      <c r="O77" s="69"/>
      <c r="P77" s="104" t="s">
        <v>100</v>
      </c>
      <c r="Q77" s="105"/>
      <c r="R77" s="105"/>
      <c r="S77" s="106"/>
      <c r="T77" s="105"/>
      <c r="U77" s="112"/>
      <c r="V77" s="76"/>
      <c r="W77" s="73"/>
      <c r="X77" s="73"/>
      <c r="Y77" s="73"/>
    </row>
    <row r="78" spans="1:25" x14ac:dyDescent="0.15">
      <c r="E78" s="71"/>
      <c r="F78" s="71"/>
      <c r="G78" s="71"/>
      <c r="H78" s="2"/>
      <c r="I78" s="77"/>
      <c r="K78" s="107" t="s">
        <v>101</v>
      </c>
      <c r="L78" s="107"/>
      <c r="M78" s="107"/>
      <c r="N78" s="107"/>
      <c r="O78" s="107"/>
      <c r="P78" s="107"/>
      <c r="Q78" s="107"/>
      <c r="R78" s="107"/>
      <c r="S78" s="108"/>
      <c r="T78" s="107"/>
      <c r="U78" s="112"/>
      <c r="V78" s="78"/>
      <c r="W78" s="79"/>
      <c r="X78" s="73"/>
      <c r="Y78" s="73"/>
    </row>
    <row r="79" spans="1:25" x14ac:dyDescent="0.15">
      <c r="C79" s="80"/>
      <c r="D79" s="80"/>
      <c r="E79" s="81"/>
      <c r="F79" s="81"/>
      <c r="G79" s="9"/>
      <c r="I79" s="82"/>
      <c r="J79" s="83"/>
      <c r="K79" s="82"/>
      <c r="L79" s="82"/>
      <c r="M79" s="82"/>
      <c r="N79" s="82"/>
      <c r="O79" s="82"/>
      <c r="P79" s="9"/>
      <c r="Q79" s="84" t="s">
        <v>102</v>
      </c>
      <c r="R79" s="9"/>
      <c r="S79" s="85"/>
      <c r="T79" s="9"/>
      <c r="U79" s="86"/>
      <c r="V79" s="87"/>
      <c r="W79" s="85"/>
      <c r="X79" s="88"/>
      <c r="Y79" s="85"/>
    </row>
    <row r="80" spans="1:25" x14ac:dyDescent="0.15">
      <c r="C80" s="80"/>
      <c r="D80" s="80"/>
      <c r="E80" s="81"/>
      <c r="F80" s="81"/>
      <c r="G80" s="9"/>
      <c r="I80" s="89"/>
      <c r="J80" s="90"/>
      <c r="K80" s="91"/>
      <c r="L80" s="91"/>
      <c r="M80" s="91"/>
      <c r="N80" s="91"/>
      <c r="O80" s="91"/>
      <c r="P80" s="109" t="s">
        <v>103</v>
      </c>
      <c r="Q80" s="109"/>
      <c r="R80" s="109"/>
      <c r="S80" s="109"/>
      <c r="T80" s="110"/>
      <c r="U80" s="111"/>
      <c r="V80" s="112"/>
      <c r="W80" s="113"/>
      <c r="X80" s="113"/>
      <c r="Y80" s="113"/>
    </row>
    <row r="81" spans="3:25" x14ac:dyDescent="0.15">
      <c r="C81" s="80"/>
      <c r="D81" s="80"/>
      <c r="E81" s="81"/>
      <c r="F81" s="81"/>
      <c r="G81" s="9"/>
      <c r="I81" s="9"/>
      <c r="J81" s="92"/>
      <c r="K81" s="85"/>
      <c r="L81" s="85"/>
      <c r="M81" s="85"/>
      <c r="N81" s="85"/>
      <c r="O81" s="85"/>
      <c r="P81" s="85"/>
      <c r="Q81" s="85"/>
      <c r="R81" s="85"/>
      <c r="S81" s="85"/>
      <c r="T81" s="9"/>
      <c r="U81" s="93"/>
      <c r="V81" s="97"/>
      <c r="W81" s="98"/>
      <c r="X81" s="99"/>
      <c r="Y81" s="100"/>
    </row>
    <row r="82" spans="3:25" x14ac:dyDescent="0.15">
      <c r="C82" s="80"/>
      <c r="D82" s="80"/>
      <c r="E82" s="81"/>
      <c r="F82" s="81"/>
      <c r="G82" s="9"/>
      <c r="I82" s="9"/>
      <c r="J82" s="92"/>
      <c r="K82" s="85"/>
      <c r="L82" s="85"/>
      <c r="M82" s="85"/>
      <c r="N82" s="85"/>
      <c r="O82" s="85"/>
      <c r="P82" s="85"/>
      <c r="Q82" s="85"/>
      <c r="R82" s="85"/>
      <c r="S82" s="85"/>
      <c r="T82" s="9"/>
      <c r="U82" s="93"/>
      <c r="V82" s="97"/>
      <c r="W82" s="98"/>
      <c r="X82" s="100"/>
      <c r="Y82" s="100"/>
    </row>
    <row r="83" spans="3:25" x14ac:dyDescent="0.15">
      <c r="C83" s="80"/>
      <c r="D83" s="80"/>
      <c r="E83" s="81"/>
      <c r="F83" s="81"/>
      <c r="G83" s="9"/>
      <c r="I83" s="9"/>
      <c r="J83" s="92"/>
      <c r="K83" s="85"/>
      <c r="L83" s="85"/>
      <c r="M83" s="85"/>
      <c r="N83" s="85"/>
      <c r="O83" s="85"/>
      <c r="P83" s="85"/>
      <c r="Q83" s="85"/>
      <c r="R83" s="85"/>
      <c r="S83" s="85"/>
      <c r="T83" s="9"/>
      <c r="U83" s="86"/>
      <c r="V83" s="87"/>
      <c r="W83" s="91"/>
      <c r="X83" s="85"/>
      <c r="Y83" s="85"/>
    </row>
    <row r="84" spans="3:25" ht="22.5" x14ac:dyDescent="0.15">
      <c r="C84" s="80"/>
      <c r="D84" s="80"/>
      <c r="E84" s="81"/>
      <c r="F84" s="81"/>
      <c r="G84" s="9"/>
      <c r="I84" s="9"/>
      <c r="J84" s="92"/>
      <c r="K84" s="85"/>
      <c r="L84" s="85"/>
      <c r="M84" s="85"/>
      <c r="N84" s="85"/>
      <c r="O84" s="85"/>
      <c r="P84" s="85"/>
      <c r="Q84" s="85"/>
      <c r="R84" s="85"/>
      <c r="S84" s="73"/>
      <c r="T84" s="94"/>
      <c r="U84" s="95" t="s">
        <v>104</v>
      </c>
      <c r="V84" s="87"/>
      <c r="W84" s="85"/>
      <c r="X84" s="85"/>
      <c r="Y84" s="85"/>
    </row>
    <row r="85" spans="3:25" ht="22.5" x14ac:dyDescent="0.15">
      <c r="C85" s="80"/>
      <c r="D85" s="80"/>
      <c r="E85" s="81"/>
      <c r="F85" s="81"/>
      <c r="G85" s="9"/>
      <c r="I85" s="9"/>
      <c r="J85" s="92"/>
      <c r="K85" s="85"/>
      <c r="L85" s="85"/>
      <c r="M85" s="85"/>
      <c r="N85" s="85"/>
      <c r="O85" s="85"/>
      <c r="P85" s="85"/>
      <c r="Q85" s="85"/>
      <c r="R85" s="85"/>
      <c r="T85" s="94"/>
      <c r="U85" s="95"/>
      <c r="V85" s="87"/>
      <c r="W85" s="85"/>
      <c r="X85" s="85"/>
      <c r="Y85" s="85"/>
    </row>
    <row r="86" spans="3:25" x14ac:dyDescent="0.15">
      <c r="C86" s="80"/>
      <c r="D86" s="80"/>
      <c r="E86" s="81"/>
      <c r="F86" s="81"/>
      <c r="G86" s="9"/>
      <c r="I86" s="9"/>
      <c r="J86" s="92"/>
      <c r="K86" s="85"/>
      <c r="L86" s="85"/>
      <c r="M86" s="85"/>
      <c r="N86" s="85"/>
      <c r="O86" s="85"/>
      <c r="P86" s="85"/>
      <c r="Q86" s="85"/>
      <c r="R86" s="85"/>
      <c r="V86" s="87"/>
      <c r="W86" s="85"/>
      <c r="X86" s="85"/>
      <c r="Y86" s="85"/>
    </row>
    <row r="87" spans="3:25" x14ac:dyDescent="0.15">
      <c r="C87" s="80"/>
      <c r="D87" s="80"/>
      <c r="E87" s="81"/>
      <c r="F87" s="81"/>
      <c r="G87" s="9"/>
      <c r="I87" s="9"/>
      <c r="J87" s="92"/>
      <c r="K87" s="9"/>
      <c r="L87" s="9"/>
      <c r="M87" s="9"/>
      <c r="N87" s="9"/>
      <c r="O87" s="9"/>
      <c r="P87" s="9"/>
      <c r="Q87" s="9"/>
      <c r="R87" s="9"/>
      <c r="S87" s="85"/>
      <c r="T87" s="9"/>
      <c r="U87" s="86"/>
      <c r="V87" s="87"/>
      <c r="W87" s="9"/>
      <c r="X87" s="9"/>
      <c r="Y87" s="9"/>
    </row>
    <row r="88" spans="3:25" ht="22.5" x14ac:dyDescent="0.15">
      <c r="R88" s="5"/>
      <c r="S88" s="73"/>
      <c r="T88" s="94"/>
      <c r="U88" s="95"/>
      <c r="V88" s="78"/>
      <c r="W88" s="8"/>
    </row>
    <row r="89" spans="3:25" ht="22.5" x14ac:dyDescent="0.15">
      <c r="T89" s="94"/>
      <c r="U89" s="95"/>
    </row>
    <row r="91" spans="3:25" ht="22.5" x14ac:dyDescent="0.15">
      <c r="U91" s="95"/>
    </row>
    <row r="92" spans="3:25" ht="22.5" x14ac:dyDescent="0.15">
      <c r="T92" s="94"/>
      <c r="U92" s="95"/>
    </row>
    <row r="93" spans="3:25" ht="22.5" x14ac:dyDescent="0.15">
      <c r="T93" s="94"/>
      <c r="U93" s="95"/>
    </row>
    <row r="94" spans="3:25" x14ac:dyDescent="0.15">
      <c r="U94" s="96"/>
    </row>
  </sheetData>
  <mergeCells count="8">
    <mergeCell ref="V81:Y82"/>
    <mergeCell ref="V75:X75"/>
    <mergeCell ref="P76:T76"/>
    <mergeCell ref="P77:T77"/>
    <mergeCell ref="K78:T78"/>
    <mergeCell ref="P80:U80"/>
    <mergeCell ref="V80:Y80"/>
    <mergeCell ref="U76:U78"/>
  </mergeCells>
  <phoneticPr fontId="13" type="noConversion"/>
  <pageMargins left="0.7" right="0.7" top="0.75" bottom="0.75" header="0.3" footer="0.3"/>
  <pageSetup paperSize="9" orientation="portrait" horizontalDpi="200" verticalDpi="300"/>
  <ignoredErrors>
    <ignoredError sqref="Q7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2026-08-16T06:20:56Z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D3579BD5A71941F58A015817B82C319F_12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